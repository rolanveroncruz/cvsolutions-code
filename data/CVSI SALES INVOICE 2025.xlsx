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ERTS\"/>
    </mc:Choice>
  </mc:AlternateContent>
  <xr:revisionPtr revIDLastSave="0" documentId="8_{09CB9EFC-542A-4EAF-817E-3635B34C6DE2}" xr6:coauthVersionLast="47" xr6:coauthVersionMax="47" xr10:uidLastSave="{00000000-0000-0000-0000-000000000000}"/>
  <bookViews>
    <workbookView xWindow="-110" yWindow="-110" windowWidth="25820" windowHeight="16220" xr2:uid="{020D345E-817A-4340-874B-C075EA77B4FD}"/>
  </bookViews>
  <sheets>
    <sheet name="2025 MNL SI BASIC DA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22" i="1" l="1"/>
  <c r="N422" i="1"/>
  <c r="P422" i="1" s="1"/>
  <c r="O421" i="1"/>
  <c r="N421" i="1"/>
  <c r="P421" i="1" s="1"/>
  <c r="O420" i="1"/>
  <c r="N420" i="1"/>
  <c r="P420" i="1" s="1"/>
  <c r="P419" i="1"/>
  <c r="O419" i="1"/>
  <c r="P418" i="1"/>
  <c r="O418" i="1"/>
  <c r="Q418" i="1" s="1"/>
  <c r="O417" i="1"/>
  <c r="N417" i="1"/>
  <c r="P417" i="1" s="1"/>
  <c r="O416" i="1"/>
  <c r="N416" i="1"/>
  <c r="P416" i="1" s="1"/>
  <c r="O415" i="1"/>
  <c r="N415" i="1"/>
  <c r="P415" i="1" s="1"/>
  <c r="Q415" i="1" s="1"/>
  <c r="O414" i="1"/>
  <c r="N414" i="1"/>
  <c r="P414" i="1" s="1"/>
  <c r="O413" i="1"/>
  <c r="N413" i="1"/>
  <c r="P413" i="1" s="1"/>
  <c r="O412" i="1"/>
  <c r="N412" i="1"/>
  <c r="P412" i="1" s="1"/>
  <c r="Q412" i="1" s="1"/>
  <c r="O411" i="1"/>
  <c r="N411" i="1"/>
  <c r="P411" i="1" s="1"/>
  <c r="O410" i="1"/>
  <c r="N410" i="1"/>
  <c r="P410" i="1" s="1"/>
  <c r="O409" i="1"/>
  <c r="N409" i="1"/>
  <c r="P409" i="1" s="1"/>
  <c r="Q409" i="1" s="1"/>
  <c r="O408" i="1"/>
  <c r="N408" i="1"/>
  <c r="P408" i="1" s="1"/>
  <c r="O407" i="1"/>
  <c r="N407" i="1"/>
  <c r="P407" i="1" s="1"/>
  <c r="O406" i="1"/>
  <c r="N406" i="1"/>
  <c r="P406" i="1" s="1"/>
  <c r="Q406" i="1" s="1"/>
  <c r="P405" i="1"/>
  <c r="O405" i="1"/>
  <c r="P404" i="1"/>
  <c r="O404" i="1"/>
  <c r="P403" i="1"/>
  <c r="O403" i="1"/>
  <c r="O402" i="1"/>
  <c r="N402" i="1"/>
  <c r="P402" i="1" s="1"/>
  <c r="O401" i="1"/>
  <c r="N401" i="1"/>
  <c r="P401" i="1" s="1"/>
  <c r="O400" i="1"/>
  <c r="N400" i="1"/>
  <c r="P400" i="1" s="1"/>
  <c r="Q400" i="1" s="1"/>
  <c r="O399" i="1"/>
  <c r="N399" i="1"/>
  <c r="P399" i="1" s="1"/>
  <c r="O398" i="1"/>
  <c r="N398" i="1"/>
  <c r="P398" i="1" s="1"/>
  <c r="O397" i="1"/>
  <c r="N397" i="1"/>
  <c r="P397" i="1" s="1"/>
  <c r="O396" i="1"/>
  <c r="N396" i="1"/>
  <c r="P396" i="1" s="1"/>
  <c r="O395" i="1"/>
  <c r="N395" i="1"/>
  <c r="P395" i="1" s="1"/>
  <c r="O394" i="1"/>
  <c r="N394" i="1"/>
  <c r="P394" i="1" s="1"/>
  <c r="Q394" i="1" s="1"/>
  <c r="O393" i="1"/>
  <c r="N393" i="1"/>
  <c r="P393" i="1" s="1"/>
  <c r="P392" i="1"/>
  <c r="O392" i="1"/>
  <c r="P391" i="1"/>
  <c r="O391" i="1"/>
  <c r="Q391" i="1" s="1"/>
  <c r="O390" i="1"/>
  <c r="N390" i="1"/>
  <c r="P390" i="1" s="1"/>
  <c r="O389" i="1"/>
  <c r="N389" i="1"/>
  <c r="P389" i="1" s="1"/>
  <c r="O388" i="1"/>
  <c r="N388" i="1"/>
  <c r="P388" i="1" s="1"/>
  <c r="O387" i="1"/>
  <c r="N387" i="1"/>
  <c r="P387" i="1" s="1"/>
  <c r="O386" i="1"/>
  <c r="N386" i="1"/>
  <c r="P386" i="1" s="1"/>
  <c r="O385" i="1"/>
  <c r="N385" i="1"/>
  <c r="P385" i="1" s="1"/>
  <c r="O384" i="1"/>
  <c r="N384" i="1"/>
  <c r="P384" i="1" s="1"/>
  <c r="M383" i="1"/>
  <c r="M382" i="1"/>
  <c r="O382" i="1" s="1"/>
  <c r="P381" i="1"/>
  <c r="O381" i="1"/>
  <c r="O380" i="1"/>
  <c r="N380" i="1"/>
  <c r="P380" i="1" s="1"/>
  <c r="M379" i="1"/>
  <c r="N379" i="1" s="1"/>
  <c r="P379" i="1" s="1"/>
  <c r="M378" i="1"/>
  <c r="O377" i="1"/>
  <c r="N377" i="1"/>
  <c r="P377" i="1" s="1"/>
  <c r="Q377" i="1" s="1"/>
  <c r="O376" i="1"/>
  <c r="N376" i="1"/>
  <c r="P376" i="1" s="1"/>
  <c r="O375" i="1"/>
  <c r="N375" i="1"/>
  <c r="P375" i="1" s="1"/>
  <c r="O374" i="1"/>
  <c r="N374" i="1"/>
  <c r="P374" i="1" s="1"/>
  <c r="Q374" i="1" s="1"/>
  <c r="O373" i="1"/>
  <c r="N373" i="1"/>
  <c r="P373" i="1" s="1"/>
  <c r="O372" i="1"/>
  <c r="N372" i="1"/>
  <c r="P372" i="1" s="1"/>
  <c r="Q372" i="1" s="1"/>
  <c r="M371" i="1"/>
  <c r="M370" i="1"/>
  <c r="O370" i="1" s="1"/>
  <c r="O369" i="1"/>
  <c r="N369" i="1"/>
  <c r="P369" i="1" s="1"/>
  <c r="O368" i="1"/>
  <c r="N368" i="1"/>
  <c r="P368" i="1" s="1"/>
  <c r="M367" i="1"/>
  <c r="O367" i="1" s="1"/>
  <c r="M366" i="1"/>
  <c r="N366" i="1" s="1"/>
  <c r="P366" i="1" s="1"/>
  <c r="O365" i="1"/>
  <c r="N365" i="1"/>
  <c r="P365" i="1" s="1"/>
  <c r="M364" i="1"/>
  <c r="M363" i="1"/>
  <c r="O363" i="1" s="1"/>
  <c r="O362" i="1"/>
  <c r="N362" i="1"/>
  <c r="P362" i="1" s="1"/>
  <c r="O361" i="1"/>
  <c r="N361" i="1"/>
  <c r="P361" i="1" s="1"/>
  <c r="O360" i="1"/>
  <c r="N360" i="1"/>
  <c r="P360" i="1" s="1"/>
  <c r="O359" i="1"/>
  <c r="N359" i="1"/>
  <c r="P359" i="1" s="1"/>
  <c r="O358" i="1"/>
  <c r="Q358" i="1" s="1"/>
  <c r="O357" i="1"/>
  <c r="Q357" i="1" s="1"/>
  <c r="O356" i="1"/>
  <c r="N356" i="1"/>
  <c r="P356" i="1" s="1"/>
  <c r="M355" i="1"/>
  <c r="O355" i="1" s="1"/>
  <c r="M354" i="1"/>
  <c r="N354" i="1" s="1"/>
  <c r="P354" i="1" s="1"/>
  <c r="O353" i="1"/>
  <c r="N353" i="1"/>
  <c r="P353" i="1" s="1"/>
  <c r="O352" i="1"/>
  <c r="N352" i="1"/>
  <c r="P352" i="1" s="1"/>
  <c r="Q352" i="1" s="1"/>
  <c r="M351" i="1"/>
  <c r="M350" i="1"/>
  <c r="O350" i="1" s="1"/>
  <c r="O349" i="1"/>
  <c r="N349" i="1"/>
  <c r="P349" i="1" s="1"/>
  <c r="O348" i="1"/>
  <c r="N348" i="1"/>
  <c r="P348" i="1" s="1"/>
  <c r="O347" i="1"/>
  <c r="N347" i="1"/>
  <c r="P347" i="1" s="1"/>
  <c r="O346" i="1"/>
  <c r="N346" i="1"/>
  <c r="P346" i="1" s="1"/>
  <c r="O345" i="1"/>
  <c r="N345" i="1"/>
  <c r="P345" i="1" s="1"/>
  <c r="O344" i="1"/>
  <c r="N344" i="1"/>
  <c r="P344" i="1" s="1"/>
  <c r="O343" i="1"/>
  <c r="N343" i="1"/>
  <c r="P343" i="1" s="1"/>
  <c r="O342" i="1"/>
  <c r="N342" i="1"/>
  <c r="P342" i="1" s="1"/>
  <c r="O341" i="1"/>
  <c r="N341" i="1"/>
  <c r="P341" i="1" s="1"/>
  <c r="O340" i="1"/>
  <c r="N340" i="1"/>
  <c r="P340" i="1" s="1"/>
  <c r="O339" i="1"/>
  <c r="N339" i="1"/>
  <c r="P339" i="1" s="1"/>
  <c r="O338" i="1"/>
  <c r="N338" i="1"/>
  <c r="P338" i="1" s="1"/>
  <c r="O337" i="1"/>
  <c r="N337" i="1"/>
  <c r="P337" i="1" s="1"/>
  <c r="O336" i="1"/>
  <c r="N336" i="1"/>
  <c r="P336" i="1" s="1"/>
  <c r="O335" i="1"/>
  <c r="N335" i="1"/>
  <c r="P335" i="1" s="1"/>
  <c r="O334" i="1"/>
  <c r="N334" i="1"/>
  <c r="P334" i="1" s="1"/>
  <c r="O333" i="1"/>
  <c r="N333" i="1"/>
  <c r="P333" i="1" s="1"/>
  <c r="O332" i="1"/>
  <c r="N332" i="1"/>
  <c r="P332" i="1" s="1"/>
  <c r="Q332" i="1" s="1"/>
  <c r="O331" i="1"/>
  <c r="N331" i="1"/>
  <c r="P331" i="1" s="1"/>
  <c r="O330" i="1"/>
  <c r="N330" i="1"/>
  <c r="P330" i="1" s="1"/>
  <c r="O329" i="1"/>
  <c r="N329" i="1"/>
  <c r="P329" i="1" s="1"/>
  <c r="O328" i="1"/>
  <c r="N328" i="1"/>
  <c r="P328" i="1" s="1"/>
  <c r="P327" i="1"/>
  <c r="P326" i="1"/>
  <c r="P325" i="1"/>
  <c r="O324" i="1"/>
  <c r="N324" i="1"/>
  <c r="P324" i="1" s="1"/>
  <c r="O323" i="1"/>
  <c r="N323" i="1"/>
  <c r="P323" i="1" s="1"/>
  <c r="Q323" i="1" s="1"/>
  <c r="O322" i="1"/>
  <c r="N322" i="1"/>
  <c r="P322" i="1" s="1"/>
  <c r="O321" i="1"/>
  <c r="N321" i="1"/>
  <c r="P321" i="1" s="1"/>
  <c r="O320" i="1"/>
  <c r="N320" i="1"/>
  <c r="P320" i="1" s="1"/>
  <c r="O319" i="1"/>
  <c r="N319" i="1"/>
  <c r="P319" i="1" s="1"/>
  <c r="O318" i="1"/>
  <c r="N318" i="1"/>
  <c r="P318" i="1" s="1"/>
  <c r="O317" i="1"/>
  <c r="N317" i="1"/>
  <c r="P317" i="1" s="1"/>
  <c r="O316" i="1"/>
  <c r="N316" i="1"/>
  <c r="P316" i="1" s="1"/>
  <c r="O315" i="1"/>
  <c r="N315" i="1"/>
  <c r="P315" i="1" s="1"/>
  <c r="O314" i="1"/>
  <c r="N314" i="1"/>
  <c r="P314" i="1" s="1"/>
  <c r="Q314" i="1" s="1"/>
  <c r="O313" i="1"/>
  <c r="N313" i="1"/>
  <c r="P313" i="1" s="1"/>
  <c r="O312" i="1"/>
  <c r="N312" i="1"/>
  <c r="P312" i="1" s="1"/>
  <c r="O311" i="1"/>
  <c r="N311" i="1"/>
  <c r="P311" i="1" s="1"/>
  <c r="O310" i="1"/>
  <c r="N310" i="1"/>
  <c r="P310" i="1" s="1"/>
  <c r="O309" i="1"/>
  <c r="N309" i="1"/>
  <c r="P309" i="1" s="1"/>
  <c r="O308" i="1"/>
  <c r="N308" i="1"/>
  <c r="P308" i="1" s="1"/>
  <c r="Q308" i="1" s="1"/>
  <c r="O307" i="1"/>
  <c r="N307" i="1"/>
  <c r="P307" i="1" s="1"/>
  <c r="O306" i="1"/>
  <c r="N306" i="1"/>
  <c r="P306" i="1" s="1"/>
  <c r="O305" i="1"/>
  <c r="N305" i="1"/>
  <c r="P305" i="1" s="1"/>
  <c r="O304" i="1"/>
  <c r="N304" i="1"/>
  <c r="P304" i="1" s="1"/>
  <c r="O303" i="1"/>
  <c r="N303" i="1"/>
  <c r="P303" i="1" s="1"/>
  <c r="O302" i="1"/>
  <c r="N302" i="1"/>
  <c r="P302" i="1" s="1"/>
  <c r="Q302" i="1" s="1"/>
  <c r="O301" i="1"/>
  <c r="N301" i="1"/>
  <c r="P301" i="1" s="1"/>
  <c r="O300" i="1"/>
  <c r="N300" i="1"/>
  <c r="P300" i="1" s="1"/>
  <c r="O299" i="1"/>
  <c r="N299" i="1"/>
  <c r="P299" i="1" s="1"/>
  <c r="Q299" i="1" s="1"/>
  <c r="M298" i="1"/>
  <c r="O298" i="1" s="1"/>
  <c r="M297" i="1"/>
  <c r="O297" i="1" s="1"/>
  <c r="O296" i="1"/>
  <c r="N296" i="1"/>
  <c r="P296" i="1" s="1"/>
  <c r="O295" i="1"/>
  <c r="N295" i="1"/>
  <c r="P295" i="1" s="1"/>
  <c r="O294" i="1"/>
  <c r="N294" i="1"/>
  <c r="P294" i="1" s="1"/>
  <c r="O293" i="1"/>
  <c r="N293" i="1"/>
  <c r="P293" i="1" s="1"/>
  <c r="O292" i="1"/>
  <c r="N292" i="1"/>
  <c r="P292" i="1" s="1"/>
  <c r="O291" i="1"/>
  <c r="N291" i="1"/>
  <c r="P291" i="1" s="1"/>
  <c r="O290" i="1"/>
  <c r="N290" i="1"/>
  <c r="P290" i="1" s="1"/>
  <c r="O289" i="1"/>
  <c r="N289" i="1"/>
  <c r="P289" i="1" s="1"/>
  <c r="O288" i="1"/>
  <c r="N288" i="1"/>
  <c r="P288" i="1" s="1"/>
  <c r="O287" i="1"/>
  <c r="N287" i="1"/>
  <c r="P287" i="1" s="1"/>
  <c r="O286" i="1"/>
  <c r="N286" i="1"/>
  <c r="P286" i="1" s="1"/>
  <c r="P285" i="1"/>
  <c r="P284" i="1"/>
  <c r="P283" i="1"/>
  <c r="O282" i="1"/>
  <c r="N282" i="1"/>
  <c r="P282" i="1" s="1"/>
  <c r="M281" i="1"/>
  <c r="O281" i="1" s="1"/>
  <c r="M280" i="1"/>
  <c r="N280" i="1" s="1"/>
  <c r="P280" i="1" s="1"/>
  <c r="O279" i="1"/>
  <c r="N279" i="1"/>
  <c r="P279" i="1" s="1"/>
  <c r="O278" i="1"/>
  <c r="N278" i="1"/>
  <c r="P278" i="1" s="1"/>
  <c r="O277" i="1"/>
  <c r="N277" i="1"/>
  <c r="P277" i="1" s="1"/>
  <c r="O276" i="1"/>
  <c r="N276" i="1"/>
  <c r="P276" i="1" s="1"/>
  <c r="O275" i="1"/>
  <c r="N275" i="1"/>
  <c r="P275" i="1" s="1"/>
  <c r="O274" i="1"/>
  <c r="N274" i="1"/>
  <c r="P274" i="1" s="1"/>
  <c r="O273" i="1"/>
  <c r="N273" i="1"/>
  <c r="P273" i="1" s="1"/>
  <c r="O272" i="1"/>
  <c r="N272" i="1"/>
  <c r="P272" i="1" s="1"/>
  <c r="O271" i="1"/>
  <c r="N271" i="1"/>
  <c r="P271" i="1" s="1"/>
  <c r="Q271" i="1" s="1"/>
  <c r="O270" i="1"/>
  <c r="N270" i="1"/>
  <c r="P270" i="1" s="1"/>
  <c r="O269" i="1"/>
  <c r="N269" i="1"/>
  <c r="P269" i="1" s="1"/>
  <c r="O268" i="1"/>
  <c r="N268" i="1"/>
  <c r="P268" i="1" s="1"/>
  <c r="O267" i="1"/>
  <c r="N267" i="1"/>
  <c r="P267" i="1" s="1"/>
  <c r="O266" i="1"/>
  <c r="N266" i="1"/>
  <c r="P266" i="1" s="1"/>
  <c r="O265" i="1"/>
  <c r="N265" i="1"/>
  <c r="P265" i="1" s="1"/>
  <c r="O264" i="1"/>
  <c r="N264" i="1"/>
  <c r="P264" i="1" s="1"/>
  <c r="O263" i="1"/>
  <c r="N263" i="1"/>
  <c r="P263" i="1" s="1"/>
  <c r="O262" i="1"/>
  <c r="N262" i="1"/>
  <c r="P262" i="1" s="1"/>
  <c r="O261" i="1"/>
  <c r="N261" i="1"/>
  <c r="P261" i="1" s="1"/>
  <c r="O260" i="1"/>
  <c r="N260" i="1"/>
  <c r="P260" i="1" s="1"/>
  <c r="O259" i="1"/>
  <c r="N259" i="1"/>
  <c r="P259" i="1" s="1"/>
  <c r="M258" i="1"/>
  <c r="O258" i="1" s="1"/>
  <c r="M257" i="1"/>
  <c r="N257" i="1" s="1"/>
  <c r="P257" i="1" s="1"/>
  <c r="P256" i="1"/>
  <c r="O256" i="1"/>
  <c r="Q256" i="1" s="1"/>
  <c r="N256" i="1"/>
  <c r="P255" i="1"/>
  <c r="O255" i="1"/>
  <c r="N255" i="1"/>
  <c r="M254" i="1"/>
  <c r="O254" i="1" s="1"/>
  <c r="M253" i="1"/>
  <c r="N253" i="1" s="1"/>
  <c r="P253" i="1" s="1"/>
  <c r="P252" i="1"/>
  <c r="O252" i="1"/>
  <c r="Q252" i="1" s="1"/>
  <c r="N252" i="1"/>
  <c r="O251" i="1"/>
  <c r="N251" i="1"/>
  <c r="P251" i="1" s="1"/>
  <c r="O250" i="1"/>
  <c r="P249" i="1"/>
  <c r="P248" i="1"/>
  <c r="P247" i="1"/>
  <c r="O246" i="1"/>
  <c r="N246" i="1"/>
  <c r="P246" i="1" s="1"/>
  <c r="O245" i="1"/>
  <c r="N245" i="1"/>
  <c r="P245" i="1" s="1"/>
  <c r="O244" i="1"/>
  <c r="N244" i="1"/>
  <c r="P244" i="1" s="1"/>
  <c r="O243" i="1"/>
  <c r="N243" i="1"/>
  <c r="P243" i="1" s="1"/>
  <c r="O242" i="1"/>
  <c r="N242" i="1"/>
  <c r="P242" i="1" s="1"/>
  <c r="O241" i="1"/>
  <c r="N241" i="1"/>
  <c r="P241" i="1" s="1"/>
  <c r="O240" i="1"/>
  <c r="N240" i="1"/>
  <c r="P240" i="1" s="1"/>
  <c r="Q240" i="1" s="1"/>
  <c r="O239" i="1"/>
  <c r="N239" i="1"/>
  <c r="P239" i="1" s="1"/>
  <c r="O238" i="1"/>
  <c r="N238" i="1"/>
  <c r="P238" i="1" s="1"/>
  <c r="O237" i="1"/>
  <c r="N237" i="1"/>
  <c r="P237" i="1" s="1"/>
  <c r="O236" i="1"/>
  <c r="N236" i="1"/>
  <c r="P236" i="1" s="1"/>
  <c r="Q236" i="1" s="1"/>
  <c r="O235" i="1"/>
  <c r="N235" i="1"/>
  <c r="P235" i="1" s="1"/>
  <c r="O234" i="1"/>
  <c r="N234" i="1"/>
  <c r="P234" i="1" s="1"/>
  <c r="O233" i="1"/>
  <c r="N233" i="1"/>
  <c r="P233" i="1" s="1"/>
  <c r="O232" i="1"/>
  <c r="N232" i="1"/>
  <c r="P232" i="1" s="1"/>
  <c r="O231" i="1"/>
  <c r="N231" i="1"/>
  <c r="P231" i="1" s="1"/>
  <c r="Q231" i="1" s="1"/>
  <c r="O230" i="1"/>
  <c r="N230" i="1"/>
  <c r="P230" i="1" s="1"/>
  <c r="Q230" i="1" s="1"/>
  <c r="O229" i="1"/>
  <c r="N229" i="1"/>
  <c r="P229" i="1" s="1"/>
  <c r="O228" i="1"/>
  <c r="N228" i="1"/>
  <c r="P228" i="1" s="1"/>
  <c r="O227" i="1"/>
  <c r="N227" i="1"/>
  <c r="P227" i="1" s="1"/>
  <c r="O226" i="1"/>
  <c r="N226" i="1"/>
  <c r="P226" i="1" s="1"/>
  <c r="O225" i="1"/>
  <c r="N225" i="1"/>
  <c r="P225" i="1" s="1"/>
  <c r="O224" i="1"/>
  <c r="N224" i="1"/>
  <c r="P224" i="1" s="1"/>
  <c r="O223" i="1"/>
  <c r="N223" i="1"/>
  <c r="P223" i="1" s="1"/>
  <c r="O222" i="1"/>
  <c r="N222" i="1"/>
  <c r="P222" i="1" s="1"/>
  <c r="O221" i="1"/>
  <c r="N221" i="1"/>
  <c r="P221" i="1" s="1"/>
  <c r="O220" i="1"/>
  <c r="N220" i="1"/>
  <c r="P220" i="1" s="1"/>
  <c r="O219" i="1"/>
  <c r="N219" i="1"/>
  <c r="P219" i="1" s="1"/>
  <c r="O218" i="1"/>
  <c r="N218" i="1"/>
  <c r="P218" i="1" s="1"/>
  <c r="P217" i="1"/>
  <c r="O217" i="1"/>
  <c r="N217" i="1"/>
  <c r="R216" i="1"/>
  <c r="M216" i="1"/>
  <c r="O216" i="1" s="1"/>
  <c r="M215" i="1"/>
  <c r="O215" i="1" s="1"/>
  <c r="P214" i="1"/>
  <c r="O214" i="1"/>
  <c r="N214" i="1"/>
  <c r="O213" i="1"/>
  <c r="N213" i="1"/>
  <c r="P213" i="1" s="1"/>
  <c r="O212" i="1"/>
  <c r="N212" i="1"/>
  <c r="P212" i="1" s="1"/>
  <c r="O211" i="1"/>
  <c r="N211" i="1"/>
  <c r="P211" i="1" s="1"/>
  <c r="O210" i="1"/>
  <c r="N210" i="1"/>
  <c r="P210" i="1" s="1"/>
  <c r="P209" i="1"/>
  <c r="P208" i="1"/>
  <c r="P207" i="1"/>
  <c r="O206" i="1"/>
  <c r="N206" i="1"/>
  <c r="P206" i="1" s="1"/>
  <c r="O205" i="1"/>
  <c r="N205" i="1"/>
  <c r="P205" i="1" s="1"/>
  <c r="O204" i="1"/>
  <c r="N204" i="1"/>
  <c r="P204" i="1" s="1"/>
  <c r="O203" i="1"/>
  <c r="N203" i="1"/>
  <c r="P203" i="1" s="1"/>
  <c r="O202" i="1"/>
  <c r="N202" i="1"/>
  <c r="P202" i="1" s="1"/>
  <c r="O201" i="1"/>
  <c r="N201" i="1"/>
  <c r="P201" i="1" s="1"/>
  <c r="O200" i="1"/>
  <c r="N200" i="1"/>
  <c r="P200" i="1" s="1"/>
  <c r="O199" i="1"/>
  <c r="N199" i="1"/>
  <c r="P199" i="1" s="1"/>
  <c r="O198" i="1"/>
  <c r="N198" i="1"/>
  <c r="P198" i="1" s="1"/>
  <c r="O197" i="1"/>
  <c r="N197" i="1"/>
  <c r="P197" i="1" s="1"/>
  <c r="O196" i="1"/>
  <c r="N196" i="1"/>
  <c r="P196" i="1" s="1"/>
  <c r="O195" i="1"/>
  <c r="N195" i="1"/>
  <c r="P195" i="1" s="1"/>
  <c r="O194" i="1"/>
  <c r="N194" i="1"/>
  <c r="P194" i="1" s="1"/>
  <c r="M193" i="1"/>
  <c r="O193" i="1" s="1"/>
  <c r="M192" i="1"/>
  <c r="N192" i="1" s="1"/>
  <c r="P192" i="1" s="1"/>
  <c r="P191" i="1"/>
  <c r="O191" i="1"/>
  <c r="N191" i="1"/>
  <c r="O190" i="1"/>
  <c r="N190" i="1"/>
  <c r="P190" i="1" s="1"/>
  <c r="M189" i="1"/>
  <c r="M188" i="1"/>
  <c r="O188" i="1" s="1"/>
  <c r="P187" i="1"/>
  <c r="O187" i="1"/>
  <c r="Q187" i="1" s="1"/>
  <c r="N187" i="1"/>
  <c r="O186" i="1"/>
  <c r="N186" i="1"/>
  <c r="P186" i="1" s="1"/>
  <c r="O185" i="1"/>
  <c r="N185" i="1"/>
  <c r="P185" i="1" s="1"/>
  <c r="O184" i="1"/>
  <c r="N184" i="1"/>
  <c r="P184" i="1" s="1"/>
  <c r="O183" i="1"/>
  <c r="N183" i="1"/>
  <c r="P183" i="1" s="1"/>
  <c r="O182" i="1"/>
  <c r="N182" i="1"/>
  <c r="P182" i="1" s="1"/>
  <c r="O181" i="1"/>
  <c r="N181" i="1"/>
  <c r="P181" i="1" s="1"/>
  <c r="O180" i="1"/>
  <c r="N180" i="1"/>
  <c r="P180" i="1" s="1"/>
  <c r="O179" i="1"/>
  <c r="N179" i="1"/>
  <c r="P179" i="1" s="1"/>
  <c r="O178" i="1"/>
  <c r="N178" i="1"/>
  <c r="P178" i="1" s="1"/>
  <c r="Q178" i="1" s="1"/>
  <c r="O177" i="1"/>
  <c r="N177" i="1"/>
  <c r="P177" i="1" s="1"/>
  <c r="O176" i="1"/>
  <c r="N176" i="1"/>
  <c r="P176" i="1" s="1"/>
  <c r="O175" i="1"/>
  <c r="N175" i="1"/>
  <c r="P175" i="1" s="1"/>
  <c r="Q175" i="1" s="1"/>
  <c r="O174" i="1"/>
  <c r="N174" i="1"/>
  <c r="P174" i="1" s="1"/>
  <c r="O173" i="1"/>
  <c r="N173" i="1"/>
  <c r="P173" i="1" s="1"/>
  <c r="O172" i="1"/>
  <c r="N172" i="1"/>
  <c r="P172" i="1" s="1"/>
  <c r="O171" i="1"/>
  <c r="N171" i="1"/>
  <c r="P171" i="1" s="1"/>
  <c r="O170" i="1"/>
  <c r="N170" i="1"/>
  <c r="P170" i="1" s="1"/>
  <c r="Q170" i="1" s="1"/>
  <c r="O169" i="1"/>
  <c r="N169" i="1"/>
  <c r="P169" i="1" s="1"/>
  <c r="Q169" i="1" s="1"/>
  <c r="O168" i="1"/>
  <c r="N168" i="1"/>
  <c r="P168" i="1" s="1"/>
  <c r="O167" i="1"/>
  <c r="N167" i="1"/>
  <c r="P167" i="1" s="1"/>
  <c r="O166" i="1"/>
  <c r="N166" i="1"/>
  <c r="P166" i="1" s="1"/>
  <c r="O165" i="1"/>
  <c r="N165" i="1"/>
  <c r="P165" i="1" s="1"/>
  <c r="O164" i="1"/>
  <c r="N164" i="1"/>
  <c r="P164" i="1" s="1"/>
  <c r="O163" i="1"/>
  <c r="N163" i="1"/>
  <c r="P163" i="1" s="1"/>
  <c r="Q163" i="1" s="1"/>
  <c r="O162" i="1"/>
  <c r="N162" i="1"/>
  <c r="P162" i="1" s="1"/>
  <c r="O161" i="1"/>
  <c r="N161" i="1"/>
  <c r="P161" i="1" s="1"/>
  <c r="O160" i="1"/>
  <c r="N160" i="1"/>
  <c r="P160" i="1" s="1"/>
  <c r="O159" i="1"/>
  <c r="N159" i="1"/>
  <c r="P159" i="1" s="1"/>
  <c r="O158" i="1"/>
  <c r="N158" i="1"/>
  <c r="P158" i="1" s="1"/>
  <c r="O157" i="1"/>
  <c r="N157" i="1"/>
  <c r="P157" i="1" s="1"/>
  <c r="Q157" i="1" s="1"/>
  <c r="O156" i="1"/>
  <c r="N156" i="1"/>
  <c r="P156" i="1" s="1"/>
  <c r="O155" i="1"/>
  <c r="N155" i="1"/>
  <c r="P155" i="1" s="1"/>
  <c r="O154" i="1"/>
  <c r="N154" i="1"/>
  <c r="P154" i="1" s="1"/>
  <c r="Q154" i="1" s="1"/>
  <c r="O153" i="1"/>
  <c r="N153" i="1"/>
  <c r="P153" i="1" s="1"/>
  <c r="O152" i="1"/>
  <c r="N152" i="1"/>
  <c r="P152" i="1" s="1"/>
  <c r="O151" i="1"/>
  <c r="N151" i="1"/>
  <c r="P151" i="1" s="1"/>
  <c r="O150" i="1"/>
  <c r="N150" i="1"/>
  <c r="P150" i="1" s="1"/>
  <c r="O149" i="1"/>
  <c r="N149" i="1"/>
  <c r="P149" i="1" s="1"/>
  <c r="O148" i="1"/>
  <c r="N148" i="1"/>
  <c r="P148" i="1" s="1"/>
  <c r="O147" i="1"/>
  <c r="N147" i="1"/>
  <c r="P147" i="1" s="1"/>
  <c r="P146" i="1"/>
  <c r="Q146" i="1" s="1"/>
  <c r="N146" i="1"/>
  <c r="P145" i="1"/>
  <c r="Q145" i="1" s="1"/>
  <c r="N145" i="1"/>
  <c r="O144" i="1"/>
  <c r="N144" i="1"/>
  <c r="P144" i="1" s="1"/>
  <c r="Q144" i="1" s="1"/>
  <c r="O143" i="1"/>
  <c r="N143" i="1"/>
  <c r="P143" i="1" s="1"/>
  <c r="O142" i="1"/>
  <c r="N142" i="1"/>
  <c r="P142" i="1" s="1"/>
  <c r="P141" i="1"/>
  <c r="O141" i="1"/>
  <c r="O140" i="1"/>
  <c r="N140" i="1"/>
  <c r="P140" i="1" s="1"/>
  <c r="O139" i="1"/>
  <c r="N139" i="1"/>
  <c r="P139" i="1" s="1"/>
  <c r="O138" i="1"/>
  <c r="N138" i="1"/>
  <c r="P138" i="1" s="1"/>
  <c r="O137" i="1"/>
  <c r="N137" i="1"/>
  <c r="P137" i="1" s="1"/>
  <c r="O136" i="1"/>
  <c r="N136" i="1"/>
  <c r="P136" i="1" s="1"/>
  <c r="Q136" i="1" s="1"/>
  <c r="O135" i="1"/>
  <c r="N135" i="1"/>
  <c r="P135" i="1" s="1"/>
  <c r="Q135" i="1" s="1"/>
  <c r="O134" i="1"/>
  <c r="N134" i="1"/>
  <c r="P134" i="1" s="1"/>
  <c r="O133" i="1"/>
  <c r="N133" i="1"/>
  <c r="P133" i="1" s="1"/>
  <c r="O132" i="1"/>
  <c r="N132" i="1"/>
  <c r="P132" i="1" s="1"/>
  <c r="Q132" i="1" s="1"/>
  <c r="O131" i="1"/>
  <c r="N131" i="1"/>
  <c r="P131" i="1" s="1"/>
  <c r="O130" i="1"/>
  <c r="N130" i="1"/>
  <c r="P130" i="1" s="1"/>
  <c r="O129" i="1"/>
  <c r="N129" i="1"/>
  <c r="P129" i="1" s="1"/>
  <c r="Q129" i="1" s="1"/>
  <c r="R128" i="1"/>
  <c r="O128" i="1"/>
  <c r="N128" i="1"/>
  <c r="P128" i="1" s="1"/>
  <c r="O127" i="1"/>
  <c r="N127" i="1"/>
  <c r="P127" i="1" s="1"/>
  <c r="O126" i="1"/>
  <c r="N126" i="1"/>
  <c r="P126" i="1" s="1"/>
  <c r="O125" i="1"/>
  <c r="N125" i="1"/>
  <c r="P125" i="1" s="1"/>
  <c r="O124" i="1"/>
  <c r="N124" i="1"/>
  <c r="P124" i="1" s="1"/>
  <c r="P123" i="1"/>
  <c r="O123" i="1"/>
  <c r="O122" i="1"/>
  <c r="N122" i="1"/>
  <c r="P122" i="1" s="1"/>
  <c r="O121" i="1"/>
  <c r="N121" i="1"/>
  <c r="P121" i="1" s="1"/>
  <c r="O120" i="1"/>
  <c r="N120" i="1"/>
  <c r="P120" i="1" s="1"/>
  <c r="O119" i="1"/>
  <c r="N119" i="1"/>
  <c r="P119" i="1" s="1"/>
  <c r="O118" i="1"/>
  <c r="N118" i="1"/>
  <c r="P118" i="1" s="1"/>
  <c r="O117" i="1"/>
  <c r="N117" i="1"/>
  <c r="P117" i="1" s="1"/>
  <c r="O116" i="1"/>
  <c r="N116" i="1"/>
  <c r="P116" i="1" s="1"/>
  <c r="P115" i="1"/>
  <c r="O115" i="1"/>
  <c r="Q115" i="1" s="1"/>
  <c r="N115" i="1"/>
  <c r="O114" i="1"/>
  <c r="N114" i="1"/>
  <c r="P114" i="1" s="1"/>
  <c r="O113" i="1"/>
  <c r="N113" i="1"/>
  <c r="P113" i="1" s="1"/>
  <c r="O112" i="1"/>
  <c r="N112" i="1"/>
  <c r="P112" i="1" s="1"/>
  <c r="Q112" i="1" s="1"/>
  <c r="O111" i="1"/>
  <c r="N111" i="1"/>
  <c r="P111" i="1" s="1"/>
  <c r="O110" i="1"/>
  <c r="N110" i="1"/>
  <c r="P110" i="1" s="1"/>
  <c r="O109" i="1"/>
  <c r="N109" i="1"/>
  <c r="P109" i="1" s="1"/>
  <c r="Q109" i="1" s="1"/>
  <c r="O108" i="1"/>
  <c r="N108" i="1"/>
  <c r="P108" i="1" s="1"/>
  <c r="O107" i="1"/>
  <c r="N107" i="1"/>
  <c r="P107" i="1" s="1"/>
  <c r="Q107" i="1" s="1"/>
  <c r="O106" i="1"/>
  <c r="Q106" i="1" s="1"/>
  <c r="N106" i="1"/>
  <c r="P106" i="1" s="1"/>
  <c r="O105" i="1"/>
  <c r="N105" i="1"/>
  <c r="P105" i="1" s="1"/>
  <c r="O104" i="1"/>
  <c r="N104" i="1"/>
  <c r="P104" i="1" s="1"/>
  <c r="O103" i="1"/>
  <c r="N103" i="1"/>
  <c r="P103" i="1" s="1"/>
  <c r="P102" i="1"/>
  <c r="O102" i="1"/>
  <c r="N102" i="1"/>
  <c r="P101" i="1"/>
  <c r="O101" i="1"/>
  <c r="Q101" i="1" s="1"/>
  <c r="N101" i="1"/>
  <c r="O100" i="1"/>
  <c r="N100" i="1"/>
  <c r="P100" i="1" s="1"/>
  <c r="O99" i="1"/>
  <c r="N99" i="1"/>
  <c r="P99" i="1" s="1"/>
  <c r="O98" i="1"/>
  <c r="N98" i="1"/>
  <c r="P98" i="1" s="1"/>
  <c r="O97" i="1"/>
  <c r="N97" i="1"/>
  <c r="P97" i="1" s="1"/>
  <c r="O96" i="1"/>
  <c r="N96" i="1"/>
  <c r="P96" i="1" s="1"/>
  <c r="O95" i="1"/>
  <c r="N95" i="1"/>
  <c r="P95" i="1" s="1"/>
  <c r="Q95" i="1" s="1"/>
  <c r="O94" i="1"/>
  <c r="N94" i="1"/>
  <c r="P94" i="1" s="1"/>
  <c r="M93" i="1"/>
  <c r="M92" i="1"/>
  <c r="O92" i="1" s="1"/>
  <c r="M91" i="1"/>
  <c r="O91" i="1" s="1"/>
  <c r="O90" i="1"/>
  <c r="N90" i="1"/>
  <c r="P90" i="1" s="1"/>
  <c r="M89" i="1"/>
  <c r="O89" i="1" s="1"/>
  <c r="M88" i="1"/>
  <c r="N88" i="1" s="1"/>
  <c r="P88" i="1" s="1"/>
  <c r="M87" i="1"/>
  <c r="N87" i="1" s="1"/>
  <c r="P87" i="1" s="1"/>
  <c r="Q86" i="1"/>
  <c r="N86" i="1"/>
  <c r="N85" i="1"/>
  <c r="K85" i="1"/>
  <c r="N84" i="1"/>
  <c r="K84" i="1"/>
  <c r="N83" i="1"/>
  <c r="K83" i="1"/>
  <c r="P82" i="1"/>
  <c r="Q82" i="1" s="1"/>
  <c r="O81" i="1"/>
  <c r="N81" i="1"/>
  <c r="P81" i="1" s="1"/>
  <c r="O80" i="1"/>
  <c r="N80" i="1"/>
  <c r="P80" i="1" s="1"/>
  <c r="O79" i="1"/>
  <c r="N79" i="1"/>
  <c r="P79" i="1" s="1"/>
  <c r="O78" i="1"/>
  <c r="N78" i="1"/>
  <c r="P78" i="1" s="1"/>
  <c r="O77" i="1"/>
  <c r="N77" i="1"/>
  <c r="P77" i="1" s="1"/>
  <c r="O76" i="1"/>
  <c r="N76" i="1"/>
  <c r="P76" i="1" s="1"/>
  <c r="M75" i="1"/>
  <c r="N75" i="1" s="1"/>
  <c r="P75" i="1" s="1"/>
  <c r="M74" i="1"/>
  <c r="N74" i="1" s="1"/>
  <c r="P74" i="1" s="1"/>
  <c r="O73" i="1"/>
  <c r="N73" i="1"/>
  <c r="P73" i="1" s="1"/>
  <c r="Q73" i="1" s="1"/>
  <c r="M72" i="1"/>
  <c r="N72" i="1" s="1"/>
  <c r="K72" i="1"/>
  <c r="M71" i="1"/>
  <c r="N71" i="1" s="1"/>
  <c r="K71" i="1"/>
  <c r="M70" i="1"/>
  <c r="N70" i="1" s="1"/>
  <c r="K70" i="1"/>
  <c r="O69" i="1"/>
  <c r="N69" i="1"/>
  <c r="P69" i="1" s="1"/>
  <c r="O68" i="1"/>
  <c r="N68" i="1"/>
  <c r="P68" i="1" s="1"/>
  <c r="Q68" i="1" s="1"/>
  <c r="O67" i="1"/>
  <c r="N67" i="1"/>
  <c r="P67" i="1" s="1"/>
  <c r="O66" i="1"/>
  <c r="N66" i="1"/>
  <c r="P66" i="1" s="1"/>
  <c r="O65" i="1"/>
  <c r="N65" i="1"/>
  <c r="P65" i="1" s="1"/>
  <c r="O64" i="1"/>
  <c r="N64" i="1"/>
  <c r="P64" i="1" s="1"/>
  <c r="O63" i="1"/>
  <c r="N63" i="1"/>
  <c r="P63" i="1" s="1"/>
  <c r="O62" i="1"/>
  <c r="N62" i="1"/>
  <c r="P62" i="1" s="1"/>
  <c r="O61" i="1"/>
  <c r="N61" i="1"/>
  <c r="P61" i="1" s="1"/>
  <c r="O60" i="1"/>
  <c r="N60" i="1"/>
  <c r="P60" i="1" s="1"/>
  <c r="O59" i="1"/>
  <c r="N59" i="1"/>
  <c r="P59" i="1" s="1"/>
  <c r="Q59" i="1" s="1"/>
  <c r="O58" i="1"/>
  <c r="N58" i="1"/>
  <c r="P58" i="1" s="1"/>
  <c r="Q58" i="1" s="1"/>
  <c r="O57" i="1"/>
  <c r="N57" i="1"/>
  <c r="P57" i="1" s="1"/>
  <c r="O56" i="1"/>
  <c r="N56" i="1"/>
  <c r="P56" i="1" s="1"/>
  <c r="Q56" i="1" s="1"/>
  <c r="O55" i="1"/>
  <c r="N55" i="1"/>
  <c r="P55" i="1" s="1"/>
  <c r="P54" i="1"/>
  <c r="O54" i="1"/>
  <c r="Q54" i="1" s="1"/>
  <c r="P53" i="1"/>
  <c r="O53" i="1"/>
  <c r="Q53" i="1" s="1"/>
  <c r="P52" i="1"/>
  <c r="O52" i="1"/>
  <c r="O51" i="1"/>
  <c r="N51" i="1"/>
  <c r="P51" i="1" s="1"/>
  <c r="O50" i="1"/>
  <c r="N50" i="1"/>
  <c r="P50" i="1" s="1"/>
  <c r="O49" i="1"/>
  <c r="N49" i="1"/>
  <c r="P49" i="1" s="1"/>
  <c r="O48" i="1"/>
  <c r="N48" i="1"/>
  <c r="P48" i="1" s="1"/>
  <c r="Q48" i="1" s="1"/>
  <c r="O47" i="1"/>
  <c r="N47" i="1"/>
  <c r="P47" i="1" s="1"/>
  <c r="O46" i="1"/>
  <c r="N46" i="1"/>
  <c r="P46" i="1" s="1"/>
  <c r="Q46" i="1" s="1"/>
  <c r="N45" i="1"/>
  <c r="K45" i="1"/>
  <c r="P45" i="1" s="1"/>
  <c r="N44" i="1"/>
  <c r="K44" i="1"/>
  <c r="N43" i="1"/>
  <c r="K43" i="1"/>
  <c r="O42" i="1"/>
  <c r="N42" i="1"/>
  <c r="P42" i="1" s="1"/>
  <c r="Q42" i="1" s="1"/>
  <c r="O41" i="1"/>
  <c r="N41" i="1"/>
  <c r="P41" i="1" s="1"/>
  <c r="O40" i="1"/>
  <c r="N40" i="1"/>
  <c r="P40" i="1" s="1"/>
  <c r="O39" i="1"/>
  <c r="N39" i="1"/>
  <c r="P39" i="1" s="1"/>
  <c r="O38" i="1"/>
  <c r="N38" i="1"/>
  <c r="P38" i="1" s="1"/>
  <c r="O37" i="1"/>
  <c r="N37" i="1"/>
  <c r="P37" i="1" s="1"/>
  <c r="O36" i="1"/>
  <c r="N36" i="1"/>
  <c r="P36" i="1" s="1"/>
  <c r="Q36" i="1" s="1"/>
  <c r="O35" i="1"/>
  <c r="N35" i="1"/>
  <c r="P35" i="1" s="1"/>
  <c r="O34" i="1"/>
  <c r="N34" i="1"/>
  <c r="P34" i="1" s="1"/>
  <c r="O33" i="1"/>
  <c r="N33" i="1"/>
  <c r="P33" i="1" s="1"/>
  <c r="Q33" i="1" s="1"/>
  <c r="K32" i="1"/>
  <c r="P32" i="1" s="1"/>
  <c r="K31" i="1"/>
  <c r="P31" i="1" s="1"/>
  <c r="K30" i="1"/>
  <c r="P30" i="1" s="1"/>
  <c r="Q29" i="1"/>
  <c r="Q311" i="1" l="1"/>
  <c r="Q38" i="1"/>
  <c r="Q62" i="1"/>
  <c r="Q148" i="1"/>
  <c r="Q160" i="1"/>
  <c r="Q172" i="1"/>
  <c r="Q393" i="1"/>
  <c r="P70" i="1"/>
  <c r="Q39" i="1"/>
  <c r="Q51" i="1"/>
  <c r="Q96" i="1"/>
  <c r="Q237" i="1"/>
  <c r="Q214" i="1"/>
  <c r="Q141" i="1"/>
  <c r="Q176" i="1"/>
  <c r="Q265" i="1"/>
  <c r="Q166" i="1"/>
  <c r="Q55" i="1"/>
  <c r="Q67" i="1"/>
  <c r="Q118" i="1"/>
  <c r="Q292" i="1"/>
  <c r="Q317" i="1"/>
  <c r="Q50" i="1"/>
  <c r="Q402" i="1"/>
  <c r="Q320" i="1"/>
  <c r="Q365" i="1"/>
  <c r="Q152" i="1"/>
  <c r="Q396" i="1"/>
  <c r="Q419" i="1"/>
  <c r="Q181" i="1"/>
  <c r="Q117" i="1"/>
  <c r="P71" i="1"/>
  <c r="Q305" i="1"/>
  <c r="Q191" i="1"/>
  <c r="Q217" i="1"/>
  <c r="Q306" i="1"/>
  <c r="Q399" i="1"/>
  <c r="Q61" i="1"/>
  <c r="Q255" i="1"/>
  <c r="Q64" i="1"/>
  <c r="Q375" i="1"/>
  <c r="Q346" i="1"/>
  <c r="Q65" i="1"/>
  <c r="Q413" i="1"/>
  <c r="Q138" i="1"/>
  <c r="Q128" i="1"/>
  <c r="Q234" i="1"/>
  <c r="N378" i="1"/>
  <c r="P378" i="1" s="1"/>
  <c r="O378" i="1"/>
  <c r="Q139" i="1"/>
  <c r="Q312" i="1"/>
  <c r="Q130" i="1"/>
  <c r="O383" i="1"/>
  <c r="N383" i="1"/>
  <c r="P383" i="1" s="1"/>
  <c r="Q142" i="1"/>
  <c r="Q290" i="1"/>
  <c r="Q267" i="1"/>
  <c r="Q268" i="1"/>
  <c r="Q35" i="1"/>
  <c r="Q190" i="1"/>
  <c r="Q202" i="1"/>
  <c r="N215" i="1"/>
  <c r="P215" i="1" s="1"/>
  <c r="Q215" i="1" s="1"/>
  <c r="Q158" i="1"/>
  <c r="O257" i="1"/>
  <c r="Q257" i="1" s="1"/>
  <c r="O88" i="1"/>
  <c r="Q227" i="1"/>
  <c r="Q338" i="1"/>
  <c r="Q361" i="1"/>
  <c r="O280" i="1"/>
  <c r="Q280" i="1" s="1"/>
  <c r="Q47" i="1"/>
  <c r="N89" i="1"/>
  <c r="P89" i="1" s="1"/>
  <c r="Q89" i="1" s="1"/>
  <c r="O192" i="1"/>
  <c r="Q192" i="1" s="1"/>
  <c r="Q228" i="1"/>
  <c r="Q407" i="1"/>
  <c r="Q416" i="1"/>
  <c r="Q182" i="1"/>
  <c r="Q251" i="1"/>
  <c r="Q329" i="1"/>
  <c r="Q150" i="1"/>
  <c r="Q102" i="1"/>
  <c r="Q123" i="1"/>
  <c r="Q151" i="1"/>
  <c r="Q184" i="1"/>
  <c r="Q239" i="1"/>
  <c r="Q295" i="1"/>
  <c r="Q210" i="1"/>
  <c r="O354" i="1"/>
  <c r="Q354" i="1" s="1"/>
  <c r="Q410" i="1"/>
  <c r="Q94" i="1"/>
  <c r="Q52" i="1"/>
  <c r="Q164" i="1"/>
  <c r="O379" i="1"/>
  <c r="Q379" i="1" s="1"/>
  <c r="N355" i="1"/>
  <c r="P355" i="1" s="1"/>
  <c r="Q355" i="1" s="1"/>
  <c r="P83" i="1"/>
  <c r="Q212" i="1"/>
  <c r="Q222" i="1"/>
  <c r="N254" i="1"/>
  <c r="P254" i="1" s="1"/>
  <c r="Q254" i="1" s="1"/>
  <c r="Q380" i="1"/>
  <c r="Q233" i="1"/>
  <c r="Q275" i="1"/>
  <c r="Q321" i="1"/>
  <c r="Q392" i="1"/>
  <c r="Q133" i="1"/>
  <c r="Q104" i="1"/>
  <c r="O253" i="1"/>
  <c r="Q253" i="1" s="1"/>
  <c r="Q411" i="1"/>
  <c r="Q63" i="1"/>
  <c r="Q116" i="1"/>
  <c r="Q289" i="1"/>
  <c r="Q381" i="1"/>
  <c r="Q103" i="1"/>
  <c r="Q149" i="1"/>
  <c r="Q300" i="1"/>
  <c r="Q88" i="1"/>
  <c r="Q173" i="1"/>
  <c r="Q263" i="1"/>
  <c r="Q324" i="1"/>
  <c r="Q122" i="1"/>
  <c r="Q390" i="1"/>
  <c r="Q422" i="1"/>
  <c r="Q204" i="1"/>
  <c r="Q417" i="1"/>
  <c r="Q41" i="1"/>
  <c r="Q201" i="1"/>
  <c r="Q126" i="1"/>
  <c r="Q414" i="1"/>
  <c r="Q318" i="1"/>
  <c r="Q347" i="1"/>
  <c r="Q78" i="1"/>
  <c r="Q272" i="1"/>
  <c r="Q286" i="1"/>
  <c r="Q198" i="1"/>
  <c r="Q269" i="1"/>
  <c r="Q310" i="1"/>
  <c r="Q344" i="1"/>
  <c r="Q369" i="1"/>
  <c r="Q408" i="1"/>
  <c r="Q125" i="1"/>
  <c r="Q224" i="1"/>
  <c r="Q266" i="1"/>
  <c r="Q420" i="1"/>
  <c r="Q49" i="1"/>
  <c r="Q81" i="1"/>
  <c r="Q260" i="1"/>
  <c r="Q363" i="1"/>
  <c r="Q167" i="1"/>
  <c r="Q303" i="1"/>
  <c r="O366" i="1"/>
  <c r="Q366" i="1" s="1"/>
  <c r="P84" i="1"/>
  <c r="Q199" i="1"/>
  <c r="Q219" i="1"/>
  <c r="Q235" i="1"/>
  <c r="Q376" i="1"/>
  <c r="Q401" i="1"/>
  <c r="Q37" i="1"/>
  <c r="Q137" i="1"/>
  <c r="Q186" i="1"/>
  <c r="Q294" i="1"/>
  <c r="N363" i="1"/>
  <c r="P363" i="1" s="1"/>
  <c r="Q110" i="1"/>
  <c r="Q196" i="1"/>
  <c r="N216" i="1"/>
  <c r="P216" i="1" s="1"/>
  <c r="Q216" i="1" s="1"/>
  <c r="Q221" i="1"/>
  <c r="Q334" i="1"/>
  <c r="Q34" i="1"/>
  <c r="P72" i="1"/>
  <c r="Q134" i="1"/>
  <c r="Q274" i="1"/>
  <c r="Q339" i="1"/>
  <c r="Q378" i="1"/>
  <c r="Q206" i="1"/>
  <c r="Q291" i="1"/>
  <c r="Q319" i="1"/>
  <c r="Q398" i="1"/>
  <c r="Q69" i="1"/>
  <c r="Q99" i="1"/>
  <c r="Q131" i="1"/>
  <c r="Q155" i="1"/>
  <c r="Q213" i="1"/>
  <c r="N281" i="1"/>
  <c r="P281" i="1" s="1"/>
  <c r="Q281" i="1" s="1"/>
  <c r="Q165" i="1"/>
  <c r="Q301" i="1"/>
  <c r="Q336" i="1"/>
  <c r="Q360" i="1"/>
  <c r="Q388" i="1"/>
  <c r="Q66" i="1"/>
  <c r="N91" i="1"/>
  <c r="P91" i="1" s="1"/>
  <c r="Q91" i="1" s="1"/>
  <c r="Q183" i="1"/>
  <c r="N188" i="1"/>
  <c r="P188" i="1" s="1"/>
  <c r="Q188" i="1" s="1"/>
  <c r="N193" i="1"/>
  <c r="P193" i="1" s="1"/>
  <c r="Q193" i="1" s="1"/>
  <c r="Q242" i="1"/>
  <c r="Q288" i="1"/>
  <c r="Q147" i="1"/>
  <c r="Q203" i="1"/>
  <c r="Q218" i="1"/>
  <c r="Q316" i="1"/>
  <c r="Q331" i="1"/>
  <c r="Q341" i="1"/>
  <c r="Q282" i="1"/>
  <c r="O43" i="1"/>
  <c r="P43" i="1"/>
  <c r="Q143" i="1"/>
  <c r="Q238" i="1"/>
  <c r="N297" i="1"/>
  <c r="P297" i="1" s="1"/>
  <c r="Q297" i="1" s="1"/>
  <c r="O371" i="1"/>
  <c r="N371" i="1"/>
  <c r="P371" i="1" s="1"/>
  <c r="Q113" i="1"/>
  <c r="Q243" i="1"/>
  <c r="Q277" i="1"/>
  <c r="Q384" i="1"/>
  <c r="Q194" i="1"/>
  <c r="Q40" i="1"/>
  <c r="Q140" i="1"/>
  <c r="Q211" i="1"/>
  <c r="Q356" i="1"/>
  <c r="Q80" i="1"/>
  <c r="P85" i="1"/>
  <c r="Q232" i="1"/>
  <c r="P44" i="1"/>
  <c r="Q79" i="1"/>
  <c r="Q162" i="1"/>
  <c r="O351" i="1"/>
  <c r="N351" i="1"/>
  <c r="P351" i="1" s="1"/>
  <c r="Q395" i="1"/>
  <c r="Q60" i="1"/>
  <c r="Q114" i="1"/>
  <c r="Q127" i="1"/>
  <c r="Q180" i="1"/>
  <c r="Q185" i="1"/>
  <c r="Q244" i="1"/>
  <c r="Q262" i="1"/>
  <c r="Q278" i="1"/>
  <c r="Q385" i="1"/>
  <c r="O44" i="1"/>
  <c r="O93" i="1"/>
  <c r="N93" i="1"/>
  <c r="P93" i="1" s="1"/>
  <c r="Q195" i="1"/>
  <c r="Q328" i="1"/>
  <c r="Q57" i="1"/>
  <c r="Q124" i="1"/>
  <c r="Q225" i="1"/>
  <c r="Q343" i="1"/>
  <c r="Q76" i="1"/>
  <c r="Q98" i="1"/>
  <c r="Q119" i="1"/>
  <c r="Q313" i="1"/>
  <c r="N382" i="1"/>
  <c r="P382" i="1" s="1"/>
  <c r="Q382" i="1" s="1"/>
  <c r="Q259" i="1"/>
  <c r="Q353" i="1"/>
  <c r="O364" i="1"/>
  <c r="N364" i="1"/>
  <c r="P364" i="1" s="1"/>
  <c r="Q387" i="1"/>
  <c r="O87" i="1"/>
  <c r="Q87" i="1" s="1"/>
  <c r="Q90" i="1"/>
  <c r="Q111" i="1"/>
  <c r="Q159" i="1"/>
  <c r="Q241" i="1"/>
  <c r="Q246" i="1"/>
  <c r="Q287" i="1"/>
  <c r="Q359" i="1"/>
  <c r="Q100" i="1"/>
  <c r="Q161" i="1"/>
  <c r="N92" i="1"/>
  <c r="P92" i="1" s="1"/>
  <c r="Q92" i="1" s="1"/>
  <c r="Q174" i="1"/>
  <c r="Q200" i="1"/>
  <c r="Q179" i="1"/>
  <c r="Q389" i="1"/>
  <c r="Q108" i="1"/>
  <c r="Q205" i="1"/>
  <c r="Q223" i="1"/>
  <c r="Q245" i="1"/>
  <c r="Q421" i="1"/>
  <c r="Q97" i="1"/>
  <c r="Q121" i="1"/>
  <c r="Q171" i="1"/>
  <c r="O189" i="1"/>
  <c r="N189" i="1"/>
  <c r="P189" i="1" s="1"/>
  <c r="O45" i="1"/>
  <c r="Q45" i="1" s="1"/>
  <c r="Q105" i="1"/>
  <c r="Q197" i="1"/>
  <c r="N258" i="1"/>
  <c r="P258" i="1" s="1"/>
  <c r="Q258" i="1" s="1"/>
  <c r="Q261" i="1"/>
  <c r="Q304" i="1"/>
  <c r="Q337" i="1"/>
  <c r="N350" i="1"/>
  <c r="P350" i="1" s="1"/>
  <c r="Q350" i="1" s="1"/>
  <c r="Q315" i="1"/>
  <c r="Q397" i="1"/>
  <c r="Q156" i="1"/>
  <c r="Q229" i="1"/>
  <c r="Q330" i="1"/>
  <c r="Q335" i="1"/>
  <c r="Q226" i="1"/>
  <c r="Q373" i="1"/>
  <c r="Q77" i="1"/>
  <c r="Q345" i="1"/>
  <c r="Q264" i="1"/>
  <c r="Q309" i="1"/>
  <c r="Q342" i="1"/>
  <c r="Q362" i="1"/>
  <c r="N370" i="1"/>
  <c r="P370" i="1" s="1"/>
  <c r="Q370" i="1" s="1"/>
  <c r="Q386" i="1"/>
  <c r="Q220" i="1"/>
  <c r="Q153" i="1"/>
  <c r="Q177" i="1"/>
  <c r="Q296" i="1"/>
  <c r="Q307" i="1"/>
  <c r="Q333" i="1"/>
  <c r="Q349" i="1"/>
  <c r="Q293" i="1"/>
  <c r="Q368" i="1"/>
  <c r="Q276" i="1"/>
  <c r="Q120" i="1"/>
  <c r="Q273" i="1"/>
  <c r="N298" i="1"/>
  <c r="P298" i="1" s="1"/>
  <c r="Q298" i="1" s="1"/>
  <c r="N367" i="1"/>
  <c r="P367" i="1" s="1"/>
  <c r="Q367" i="1" s="1"/>
  <c r="Q168" i="1"/>
  <c r="Q270" i="1"/>
  <c r="Q322" i="1"/>
  <c r="Q340" i="1"/>
  <c r="Q348" i="1"/>
  <c r="Q383" i="1" l="1"/>
  <c r="P26" i="1"/>
  <c r="Q371" i="1"/>
  <c r="Q93" i="1"/>
  <c r="Q44" i="1"/>
  <c r="Q43" i="1"/>
  <c r="Q189" i="1"/>
  <c r="Q364" i="1"/>
  <c r="Q3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NQL</author>
  </authors>
  <commentList>
    <comment ref="J29" authorId="0" shapeId="0" xr:uid="{B3B59419-AF7D-469F-BCDE-8E4A8A692C6E}">
      <text>
        <r>
          <rPr>
            <b/>
            <sz val="9"/>
            <color indexed="81"/>
            <rFont val="Tahoma"/>
            <family val="2"/>
          </rPr>
          <t>NQL:</t>
        </r>
        <r>
          <rPr>
            <sz val="9"/>
            <color indexed="81"/>
            <rFont val="Tahoma"/>
            <family val="2"/>
          </rPr>
          <t xml:space="preserve">
PROGRAM WATER TREATMENT COGEN 1</t>
        </r>
      </text>
    </comment>
    <comment ref="J42" authorId="0" shapeId="0" xr:uid="{C775C1C6-F303-4678-912A-364E34063B40}">
      <text>
        <r>
          <rPr>
            <b/>
            <sz val="9"/>
            <color indexed="81"/>
            <rFont val="Tahoma"/>
            <family val="2"/>
          </rPr>
          <t>NQL:</t>
        </r>
        <r>
          <rPr>
            <sz val="9"/>
            <color indexed="81"/>
            <rFont val="Tahoma"/>
            <family val="2"/>
          </rPr>
          <t xml:space="preserve">
PROGRAM CHEMICAL TREATMENT COGEN 2
</t>
        </r>
      </text>
    </comment>
    <comment ref="J82" authorId="0" shapeId="0" xr:uid="{779AF89B-02DB-47FD-91BC-A866EC46A2BF}">
      <text>
        <r>
          <rPr>
            <b/>
            <sz val="9"/>
            <color indexed="81"/>
            <rFont val="Tahoma"/>
            <family val="2"/>
          </rPr>
          <t>NQL:</t>
        </r>
        <r>
          <rPr>
            <sz val="9"/>
            <color indexed="81"/>
            <rFont val="Tahoma"/>
            <family val="2"/>
          </rPr>
          <t xml:space="preserve">
PROGRAM WATER TREATMENT COGEN 1</t>
        </r>
      </text>
    </comment>
    <comment ref="J86" authorId="0" shapeId="0" xr:uid="{46E84509-AC91-414C-99C6-6E37F24E80C7}">
      <text>
        <r>
          <rPr>
            <b/>
            <sz val="9"/>
            <color indexed="81"/>
            <rFont val="Tahoma"/>
            <family val="2"/>
          </rPr>
          <t>NQL:</t>
        </r>
        <r>
          <rPr>
            <sz val="9"/>
            <color indexed="81"/>
            <rFont val="Tahoma"/>
            <family val="2"/>
          </rPr>
          <t xml:space="preserve">
PROGRAM CHEMICAL TREATMENT COGEN 2</t>
        </r>
      </text>
    </comment>
    <comment ref="J127" authorId="0" shapeId="0" xr:uid="{29EB3C28-4934-4E49-8AA9-9C88F6EDD44E}">
      <text>
        <r>
          <rPr>
            <b/>
            <sz val="9"/>
            <color indexed="81"/>
            <rFont val="Tahoma"/>
            <family val="2"/>
          </rPr>
          <t>NQL:</t>
        </r>
        <r>
          <rPr>
            <sz val="9"/>
            <color indexed="81"/>
            <rFont val="Tahoma"/>
            <family val="2"/>
          </rPr>
          <t xml:space="preserve">
PROGRAM CHEMICAL TREATMENT COGEN 2
</t>
        </r>
      </text>
    </comment>
    <comment ref="J145" authorId="0" shapeId="0" xr:uid="{4E36816F-DC50-4916-9EF6-7D372BD962B0}">
      <text>
        <r>
          <rPr>
            <b/>
            <sz val="9"/>
            <color indexed="81"/>
            <rFont val="Tahoma"/>
            <family val="2"/>
          </rPr>
          <t>NQL:</t>
        </r>
        <r>
          <rPr>
            <sz val="9"/>
            <color indexed="81"/>
            <rFont val="Tahoma"/>
            <family val="2"/>
          </rPr>
          <t xml:space="preserve">
PROGRAM WATER TREATMENT LINDE</t>
        </r>
      </text>
    </comment>
    <comment ref="J146" authorId="0" shapeId="0" xr:uid="{A9733683-0F32-4B45-99EB-964F2DE6B0D0}">
      <text>
        <r>
          <rPr>
            <b/>
            <sz val="9"/>
            <color indexed="81"/>
            <rFont val="Tahoma"/>
            <family val="2"/>
          </rPr>
          <t>NQL:</t>
        </r>
        <r>
          <rPr>
            <sz val="9"/>
            <color indexed="81"/>
            <rFont val="Tahoma"/>
            <family val="2"/>
          </rPr>
          <t xml:space="preserve">
PROGRAM WATER TREATMENT LINDE</t>
        </r>
      </text>
    </comment>
    <comment ref="J381" authorId="0" shapeId="0" xr:uid="{05BC14EA-A4AF-4983-A8D2-16F6D6854D14}">
      <text>
        <r>
          <rPr>
            <b/>
            <sz val="9"/>
            <color indexed="81"/>
            <rFont val="Tahoma"/>
            <family val="2"/>
          </rPr>
          <t>NQL:</t>
        </r>
        <r>
          <rPr>
            <sz val="9"/>
            <color indexed="81"/>
            <rFont val="Tahoma"/>
            <family val="2"/>
          </rPr>
          <t xml:space="preserve">
PROGRAM WATER TREATMENT COGEN 1</t>
        </r>
      </text>
    </comment>
    <comment ref="J394" authorId="0" shapeId="0" xr:uid="{D5F45851-9BEE-4D36-B569-515E8B452781}">
      <text>
        <r>
          <rPr>
            <b/>
            <sz val="9"/>
            <color indexed="81"/>
            <rFont val="Tahoma"/>
            <family val="2"/>
          </rPr>
          <t>NQL:</t>
        </r>
        <r>
          <rPr>
            <sz val="9"/>
            <color indexed="81"/>
            <rFont val="Tahoma"/>
            <family val="2"/>
          </rPr>
          <t xml:space="preserve">
PROGRAM WATER TREATMENT LINDE</t>
        </r>
      </text>
    </comment>
  </commentList>
</comments>
</file>

<file path=xl/sharedStrings.xml><?xml version="1.0" encoding="utf-8"?>
<sst xmlns="http://schemas.openxmlformats.org/spreadsheetml/2006/main" count="1445" uniqueCount="158">
  <si>
    <t>PROD</t>
  </si>
  <si>
    <t>QTY</t>
  </si>
  <si>
    <t>PACK</t>
  </si>
  <si>
    <t>LIQ OR POW</t>
  </si>
  <si>
    <t>REMARKS</t>
  </si>
  <si>
    <t>BS 1689 2%</t>
  </si>
  <si>
    <t>KG/CBY</t>
  </si>
  <si>
    <t>LIQUID</t>
  </si>
  <si>
    <t>BS 1689 3%</t>
  </si>
  <si>
    <t>UPPC</t>
  </si>
  <si>
    <t>CITREIN 50</t>
  </si>
  <si>
    <t>L/JUG</t>
  </si>
  <si>
    <t>DICLOX</t>
  </si>
  <si>
    <t>MC 2191</t>
  </si>
  <si>
    <t>MC 2198</t>
  </si>
  <si>
    <t>MC 2199</t>
  </si>
  <si>
    <t>IBEC</t>
  </si>
  <si>
    <t>MEMCARE 5100 RO</t>
  </si>
  <si>
    <t>PERADESIN</t>
  </si>
  <si>
    <t>PF 168 C</t>
  </si>
  <si>
    <t>KG/DRUM</t>
  </si>
  <si>
    <t>POWDER</t>
  </si>
  <si>
    <t>PF 171 C</t>
  </si>
  <si>
    <t>PF NEUTRAL</t>
  </si>
  <si>
    <t>PF RTU</t>
  </si>
  <si>
    <t>RF 2069</t>
  </si>
  <si>
    <t>S10</t>
  </si>
  <si>
    <t>S5</t>
  </si>
  <si>
    <t>S5A</t>
  </si>
  <si>
    <t>SF 2000</t>
  </si>
  <si>
    <t>SF 2068</t>
  </si>
  <si>
    <t>SOLVCLEAN</t>
  </si>
  <si>
    <t>ST5</t>
  </si>
  <si>
    <t>DVO STERILOX, ACTUALLY S10 BUT PRESENTED AS S5</t>
  </si>
  <si>
    <t>STERILOX V GAL</t>
  </si>
  <si>
    <t>KG/JUG</t>
  </si>
  <si>
    <t>STERILOX V CBY</t>
  </si>
  <si>
    <t>SN</t>
  </si>
  <si>
    <t>PR</t>
  </si>
  <si>
    <t>PO</t>
  </si>
  <si>
    <t>DR</t>
  </si>
  <si>
    <t>TERMS (DAYS)</t>
  </si>
  <si>
    <t>SALES INV</t>
  </si>
  <si>
    <t>DATE</t>
  </si>
  <si>
    <t>CUSTOMER</t>
  </si>
  <si>
    <t>GOODS</t>
  </si>
  <si>
    <t>UNIT</t>
  </si>
  <si>
    <t>UNIT PRICE VATIN</t>
  </si>
  <si>
    <t>UNIT PRICE VATEX</t>
  </si>
  <si>
    <t>SI BILLED AMT VATIN</t>
  </si>
  <si>
    <t>TOTAL AMT VATEX</t>
  </si>
  <si>
    <t>VAT AMT</t>
  </si>
  <si>
    <t>REM</t>
  </si>
  <si>
    <t>BS# 618</t>
  </si>
  <si>
    <t>Bataan 2020 Power Ventures Inc. (Dec.2023)</t>
  </si>
  <si>
    <t>PWAT</t>
  </si>
  <si>
    <t>KG</t>
  </si>
  <si>
    <t>BS 1689</t>
  </si>
  <si>
    <t>Medcore Plus Enterprises</t>
  </si>
  <si>
    <t>5L JUG</t>
  </si>
  <si>
    <t>5L/CONT., 4 CONT/BOX</t>
  </si>
  <si>
    <t>Haemomed Corporation</t>
  </si>
  <si>
    <t>United Pulp and Paper Co.Inc</t>
  </si>
  <si>
    <t>30KG/CBY</t>
  </si>
  <si>
    <t>25KG/CBY</t>
  </si>
  <si>
    <t>BFT 2401</t>
  </si>
  <si>
    <t>0132</t>
  </si>
  <si>
    <t>Bataan 2020 Inc.-Cogen 2 (3 of 3)</t>
  </si>
  <si>
    <t>PCHT</t>
  </si>
  <si>
    <t>LOT</t>
  </si>
  <si>
    <t>054446</t>
  </si>
  <si>
    <t>Bataan 2020 Inc.-Samal</t>
  </si>
  <si>
    <t>Isabela Biomass Energy Corp.</t>
  </si>
  <si>
    <t>First Streamline WaterWorks Inc.</t>
  </si>
  <si>
    <t>CBY</t>
  </si>
  <si>
    <t>02120</t>
  </si>
  <si>
    <t>Bataan 2020 Inc.-samal</t>
  </si>
  <si>
    <t>35KG/CBY</t>
  </si>
  <si>
    <t>Delta P., Inc.</t>
  </si>
  <si>
    <t>PF 171C</t>
  </si>
  <si>
    <t>Luke Medical Equipment and Supplies Trading</t>
  </si>
  <si>
    <t>Koolkem Corp.</t>
  </si>
  <si>
    <t>20KG/CBY</t>
  </si>
  <si>
    <t>SC 2068</t>
  </si>
  <si>
    <t>Bataan 2020 Inc.-Cogen 2 (1 of 3)</t>
  </si>
  <si>
    <t>25-0000005</t>
  </si>
  <si>
    <t>Subzero Cold Storage and Ice Inc.</t>
  </si>
  <si>
    <t>PWAT2</t>
  </si>
  <si>
    <t>Osmont Water Technologies</t>
  </si>
  <si>
    <t>BS# 639</t>
  </si>
  <si>
    <t>Bataan 2020 Power Ventures Inc. (January 2025)</t>
  </si>
  <si>
    <t>Bataan 2020 Inc.-Cogen 2 (2 of 3 )</t>
  </si>
  <si>
    <t>0000006</t>
  </si>
  <si>
    <t>S.O.S Industrial Enterprises</t>
  </si>
  <si>
    <t>kg</t>
  </si>
  <si>
    <t>Bataan 2020 Inc.-Baesa</t>
  </si>
  <si>
    <t>Bataan 2020 Inc.- Cogen 2</t>
  </si>
  <si>
    <t>Abob GB Trading</t>
  </si>
  <si>
    <t>5285?</t>
  </si>
  <si>
    <t>250308?</t>
  </si>
  <si>
    <t>B2020</t>
  </si>
  <si>
    <t>Life Basic Trading</t>
  </si>
  <si>
    <t>Linde Phils., Inc.</t>
  </si>
  <si>
    <t>PWAT3</t>
  </si>
  <si>
    <t>1 LOT</t>
  </si>
  <si>
    <t>Delta P. Inc.</t>
  </si>
  <si>
    <t>SA</t>
  </si>
  <si>
    <t>CITREIN 51</t>
  </si>
  <si>
    <t>Cesar S. Matias</t>
  </si>
  <si>
    <t>Bataan 2020 Inc.</t>
  </si>
  <si>
    <t xml:space="preserve"> LOT</t>
  </si>
  <si>
    <t>Chemlux Incorpoation</t>
  </si>
  <si>
    <t>BIODISPERSANT</t>
  </si>
  <si>
    <t>FREE</t>
  </si>
  <si>
    <t>BIOSHIELD 1689</t>
  </si>
  <si>
    <t>z</t>
  </si>
  <si>
    <t>Bataan 2020 Power Ventures Inc.</t>
  </si>
  <si>
    <t>250701</t>
  </si>
  <si>
    <t>250704</t>
  </si>
  <si>
    <t>Bataan 2020 Power Vetures Inc.</t>
  </si>
  <si>
    <t xml:space="preserve">PWAT </t>
  </si>
  <si>
    <t>250709</t>
  </si>
  <si>
    <t>250715</t>
  </si>
  <si>
    <t>250718</t>
  </si>
  <si>
    <t>250723</t>
  </si>
  <si>
    <t>250724</t>
  </si>
  <si>
    <t>250725</t>
  </si>
  <si>
    <t>?</t>
  </si>
  <si>
    <t>250728</t>
  </si>
  <si>
    <t>250730</t>
  </si>
  <si>
    <t>250806</t>
  </si>
  <si>
    <t>250808</t>
  </si>
  <si>
    <t>Delta P Inc.</t>
  </si>
  <si>
    <t>250812</t>
  </si>
  <si>
    <t>250813</t>
  </si>
  <si>
    <t>250815</t>
  </si>
  <si>
    <t>250820</t>
  </si>
  <si>
    <t>250822</t>
  </si>
  <si>
    <t>250828</t>
  </si>
  <si>
    <t>250821</t>
  </si>
  <si>
    <t>250829</t>
  </si>
  <si>
    <t>250901</t>
  </si>
  <si>
    <t>250902</t>
  </si>
  <si>
    <t>250801</t>
  </si>
  <si>
    <t>250909</t>
  </si>
  <si>
    <t>250911</t>
  </si>
  <si>
    <t>DRUM</t>
  </si>
  <si>
    <t>FSWI</t>
  </si>
  <si>
    <t>250910</t>
  </si>
  <si>
    <t>250918</t>
  </si>
  <si>
    <t>250922</t>
  </si>
  <si>
    <t>250923</t>
  </si>
  <si>
    <t>250924</t>
  </si>
  <si>
    <t>250927</t>
  </si>
  <si>
    <t>251001</t>
  </si>
  <si>
    <t>251002</t>
  </si>
  <si>
    <t>251007</t>
  </si>
  <si>
    <t>251009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</si>
</sst>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2" fontId="0" fillId="0" borderId="0" xfId="1" applyNumberFormat="1" applyFont="1" applyFill="1" applyAlignment="1">
      <alignment horizontal="right"/>
    </xf>
    <xf numFmtId="43" fontId="0" fillId="0" borderId="0" xfId="1" applyFont="1" applyFill="1"/>
    <xf numFmtId="164" fontId="0" fillId="0" borderId="0" xfId="1" applyNumberFormat="1" applyFont="1"/>
    <xf numFmtId="43" fontId="0" fillId="0" borderId="0" xfId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/>
    </xf>
    <xf numFmtId="164" fontId="4" fillId="0" borderId="0" xfId="1" applyNumberFormat="1" applyFont="1" applyFill="1" applyAlignment="1">
      <alignment horizontal="center"/>
    </xf>
    <xf numFmtId="43" fontId="4" fillId="0" borderId="0" xfId="1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0" fontId="4" fillId="0" borderId="0" xfId="0" applyFont="1"/>
    <xf numFmtId="2" fontId="4" fillId="0" borderId="0" xfId="0" applyNumberFormat="1" applyFont="1"/>
    <xf numFmtId="164" fontId="4" fillId="0" borderId="0" xfId="1" applyNumberFormat="1" applyFont="1" applyFill="1"/>
    <xf numFmtId="43" fontId="4" fillId="0" borderId="0" xfId="1" applyFont="1" applyFill="1"/>
    <xf numFmtId="164" fontId="0" fillId="0" borderId="0" xfId="1" applyNumberFormat="1" applyFont="1" applyFill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43" fontId="5" fillId="0" borderId="0" xfId="1" applyFont="1" applyFill="1" applyBorder="1" applyAlignment="1">
      <alignment horizontal="center" vertical="center" wrapText="1"/>
    </xf>
    <xf numFmtId="164" fontId="5" fillId="0" borderId="0" xfId="1" applyNumberFormat="1" applyFont="1" applyFill="1" applyBorder="1" applyAlignment="1">
      <alignment horizontal="center" vertical="center" wrapText="1"/>
    </xf>
    <xf numFmtId="0" fontId="5" fillId="0" borderId="0" xfId="1" applyNumberFormat="1" applyFont="1" applyFill="1" applyBorder="1" applyAlignment="1">
      <alignment horizontal="center" vertical="center" wrapText="1"/>
    </xf>
    <xf numFmtId="43" fontId="5" fillId="0" borderId="0" xfId="1" applyFont="1" applyFill="1" applyAlignment="1">
      <alignment horizontal="center" vertical="center" wrapText="1"/>
    </xf>
    <xf numFmtId="43" fontId="0" fillId="0" borderId="0" xfId="1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2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43" fontId="6" fillId="0" borderId="0" xfId="1" applyFont="1" applyFill="1" applyBorder="1" applyAlignment="1">
      <alignment horizontal="center" vertical="center" wrapText="1"/>
    </xf>
    <xf numFmtId="43" fontId="3" fillId="0" borderId="0" xfId="1" applyFont="1" applyFill="1" applyAlignment="1">
      <alignment horizontal="center" vertical="center" wrapText="1"/>
    </xf>
    <xf numFmtId="0" fontId="6" fillId="0" borderId="0" xfId="1" applyNumberFormat="1" applyFont="1" applyFill="1" applyBorder="1" applyAlignment="1">
      <alignment horizontal="center" vertical="center" wrapText="1"/>
    </xf>
    <xf numFmtId="43" fontId="6" fillId="0" borderId="0" xfId="1" applyFont="1" applyFill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1" applyNumberFormat="1" applyFont="1" applyFill="1"/>
    <xf numFmtId="165" fontId="0" fillId="0" borderId="0" xfId="0" applyNumberFormat="1" applyAlignment="1">
      <alignment horizontal="center"/>
    </xf>
    <xf numFmtId="43" fontId="0" fillId="0" borderId="0" xfId="0" applyNumberFormat="1"/>
    <xf numFmtId="0" fontId="0" fillId="2" borderId="0" xfId="0" applyFill="1"/>
    <xf numFmtId="164" fontId="0" fillId="2" borderId="0" xfId="1" applyNumberFormat="1" applyFont="1" applyFill="1"/>
    <xf numFmtId="43" fontId="1" fillId="2" borderId="0" xfId="1" applyFont="1" applyFill="1" applyBorder="1"/>
    <xf numFmtId="43" fontId="5" fillId="0" borderId="0" xfId="1" applyFont="1" applyFill="1" applyBorder="1" applyAlignment="1">
      <alignment horizontal="right"/>
    </xf>
    <xf numFmtId="165" fontId="3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1" applyNumberFormat="1" applyFont="1" applyFill="1" applyAlignment="1">
      <alignment horizontal="right"/>
    </xf>
    <xf numFmtId="43" fontId="5" fillId="0" borderId="0" xfId="1" applyFont="1" applyFill="1" applyBorder="1"/>
    <xf numFmtId="43" fontId="5" fillId="0" borderId="0" xfId="1" applyFont="1" applyFill="1"/>
    <xf numFmtId="43" fontId="1" fillId="0" borderId="0" xfId="1" applyFont="1" applyFill="1" applyBorder="1"/>
    <xf numFmtId="0" fontId="0" fillId="0" borderId="0" xfId="0" quotePrefix="1" applyAlignment="1">
      <alignment horizontal="right"/>
    </xf>
    <xf numFmtId="166" fontId="0" fillId="0" borderId="0" xfId="0" applyNumberFormat="1"/>
    <xf numFmtId="43" fontId="0" fillId="0" borderId="0" xfId="1" applyFont="1" applyFill="1" applyBorder="1"/>
    <xf numFmtId="0" fontId="3" fillId="0" borderId="0" xfId="0" applyFont="1" applyAlignment="1">
      <alignment horizontal="left"/>
    </xf>
    <xf numFmtId="0" fontId="2" fillId="0" borderId="0" xfId="1" applyNumberFormat="1" applyFont="1" applyFill="1" applyBorder="1"/>
    <xf numFmtId="0" fontId="5" fillId="0" borderId="0" xfId="1" applyNumberFormat="1" applyFont="1" applyFill="1"/>
    <xf numFmtId="0" fontId="3" fillId="0" borderId="0" xfId="0" applyFont="1" applyAlignment="1">
      <alignment horizontal="center"/>
    </xf>
    <xf numFmtId="0" fontId="0" fillId="0" borderId="0" xfId="1" applyNumberFormat="1" applyFont="1" applyFill="1" applyAlignment="1">
      <alignment horizontal="left" vertical="top"/>
    </xf>
    <xf numFmtId="0" fontId="0" fillId="0" borderId="0" xfId="1" applyNumberFormat="1" applyFont="1"/>
    <xf numFmtId="0" fontId="0" fillId="0" borderId="0" xfId="1" applyNumberFormat="1" applyFont="1" applyFill="1" applyBorder="1"/>
    <xf numFmtId="0" fontId="0" fillId="3" borderId="0" xfId="0" applyFill="1" applyAlignment="1">
      <alignment horizontal="left"/>
    </xf>
    <xf numFmtId="0" fontId="0" fillId="3" borderId="0" xfId="0" applyFill="1"/>
    <xf numFmtId="0" fontId="5" fillId="0" borderId="0" xfId="0" applyFont="1" applyAlignment="1">
      <alignment horizontal="center"/>
    </xf>
    <xf numFmtId="2" fontId="0" fillId="0" borderId="0" xfId="1" quotePrefix="1" applyNumberFormat="1" applyFont="1" applyFill="1" applyAlignment="1">
      <alignment horizontal="center"/>
    </xf>
    <xf numFmtId="0" fontId="5" fillId="0" borderId="0" xfId="1" applyNumberFormat="1" applyFont="1" applyFill="1" applyBorder="1"/>
    <xf numFmtId="43" fontId="0" fillId="4" borderId="0" xfId="1" applyFont="1" applyFill="1"/>
    <xf numFmtId="0" fontId="0" fillId="0" borderId="0" xfId="1" applyNumberFormat="1" applyFont="1" applyFill="1" applyBorder="1" applyAlignment="1">
      <alignment horizontal="left" vertical="top"/>
    </xf>
    <xf numFmtId="2" fontId="5" fillId="0" borderId="0" xfId="0" applyNumberFormat="1" applyFont="1" applyAlignment="1">
      <alignment horizontal="center"/>
    </xf>
    <xf numFmtId="0" fontId="0" fillId="0" borderId="0" xfId="1" applyNumberFormat="1" applyFont="1" applyFill="1" applyAlignment="1">
      <alignment horizontal="left"/>
    </xf>
    <xf numFmtId="0" fontId="5" fillId="0" borderId="0" xfId="0" applyFont="1" applyAlignment="1">
      <alignment horizontal="right"/>
    </xf>
    <xf numFmtId="2" fontId="0" fillId="0" borderId="0" xfId="1" quotePrefix="1" applyNumberFormat="1" applyFont="1" applyFill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43" fontId="0" fillId="0" borderId="0" xfId="0" applyNumberFormat="1" applyFill="1"/>
    <xf numFmtId="165" fontId="0" fillId="0" borderId="0" xfId="0" applyNumberForma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B373-FD5C-49B7-90E5-3E4A84B2E39A}">
  <dimension ref="A1:R438"/>
  <sheetViews>
    <sheetView tabSelected="1" topLeftCell="A21" zoomScaleNormal="100" workbookViewId="0">
      <selection activeCell="A439" sqref="A439:XFD467"/>
    </sheetView>
  </sheetViews>
  <sheetFormatPr defaultRowHeight="14.5" x14ac:dyDescent="0.35"/>
  <cols>
    <col min="2" max="2" width="15.54296875" customWidth="1"/>
    <col min="3" max="3" width="9" customWidth="1"/>
    <col min="4" max="4" width="12.1796875" customWidth="1"/>
    <col min="5" max="5" width="8.7265625" style="1" customWidth="1"/>
    <col min="6" max="6" width="9.1796875" customWidth="1"/>
    <col min="7" max="7" width="9" style="20" bestFit="1" customWidth="1"/>
    <col min="8" max="8" width="9.7265625" style="21" customWidth="1"/>
    <col min="9" max="9" width="29.08984375" customWidth="1"/>
    <col min="10" max="10" width="16.26953125" customWidth="1"/>
    <col min="11" max="11" width="9.1796875" style="19" customWidth="1"/>
    <col min="12" max="12" width="11.1796875" style="4" customWidth="1"/>
    <col min="13" max="13" width="13.54296875" style="6" customWidth="1"/>
    <col min="14" max="14" width="13.54296875" style="4" customWidth="1"/>
    <col min="15" max="15" width="13.81640625" bestFit="1" customWidth="1"/>
    <col min="16" max="16" width="13.54296875" style="4" customWidth="1"/>
    <col min="17" max="17" width="13.7265625" bestFit="1" customWidth="1"/>
    <col min="18" max="18" width="20.54296875" customWidth="1"/>
  </cols>
  <sheetData>
    <row r="1" spans="2:16" x14ac:dyDescent="0.35">
      <c r="G1" s="2"/>
      <c r="H1" s="3"/>
      <c r="I1" s="4"/>
      <c r="K1" s="5"/>
      <c r="L1"/>
    </row>
    <row r="2" spans="2:16" s="7" customFormat="1" ht="21" x14ac:dyDescent="0.5">
      <c r="B2" s="8" t="s">
        <v>0</v>
      </c>
      <c r="C2" s="8" t="s">
        <v>1</v>
      </c>
      <c r="D2" s="8" t="s">
        <v>2</v>
      </c>
      <c r="E2" s="9" t="s">
        <v>3</v>
      </c>
      <c r="G2" s="8" t="s">
        <v>4</v>
      </c>
      <c r="H2" s="10"/>
      <c r="I2" s="11"/>
      <c r="J2" s="12"/>
      <c r="K2" s="13"/>
      <c r="M2" s="14"/>
      <c r="N2" s="14"/>
    </row>
    <row r="3" spans="2:16" ht="21" x14ac:dyDescent="0.5">
      <c r="B3" s="15" t="s">
        <v>5</v>
      </c>
      <c r="C3" s="15">
        <v>25</v>
      </c>
      <c r="D3" s="8" t="s">
        <v>6</v>
      </c>
      <c r="E3" s="9" t="s">
        <v>7</v>
      </c>
      <c r="F3" s="15"/>
      <c r="G3" s="15"/>
      <c r="H3" s="16"/>
      <c r="I3" s="17"/>
      <c r="J3" s="18"/>
      <c r="L3"/>
      <c r="M3" s="4"/>
      <c r="P3"/>
    </row>
    <row r="4" spans="2:16" ht="21" x14ac:dyDescent="0.5">
      <c r="B4" s="15" t="s">
        <v>8</v>
      </c>
      <c r="C4" s="15">
        <v>25</v>
      </c>
      <c r="D4" s="8" t="s">
        <v>6</v>
      </c>
      <c r="E4" s="9" t="s">
        <v>7</v>
      </c>
      <c r="G4" s="15" t="s">
        <v>9</v>
      </c>
      <c r="H4" s="16"/>
      <c r="I4" s="17"/>
      <c r="J4" s="18"/>
      <c r="L4"/>
      <c r="M4" s="4"/>
      <c r="P4"/>
    </row>
    <row r="5" spans="2:16" ht="21" x14ac:dyDescent="0.5">
      <c r="B5" s="15" t="s">
        <v>10</v>
      </c>
      <c r="C5" s="15">
        <v>5</v>
      </c>
      <c r="D5" s="8" t="s">
        <v>11</v>
      </c>
      <c r="E5" s="9" t="s">
        <v>7</v>
      </c>
      <c r="G5" s="15"/>
      <c r="H5" s="16"/>
      <c r="I5" s="17"/>
      <c r="J5" s="18"/>
      <c r="L5"/>
      <c r="M5" s="4"/>
      <c r="P5"/>
    </row>
    <row r="6" spans="2:16" ht="21" x14ac:dyDescent="0.5">
      <c r="B6" s="15" t="s">
        <v>12</v>
      </c>
      <c r="C6" s="15">
        <v>35</v>
      </c>
      <c r="D6" s="8" t="s">
        <v>6</v>
      </c>
      <c r="E6" s="9" t="s">
        <v>7</v>
      </c>
      <c r="G6" s="15"/>
      <c r="H6" s="16"/>
      <c r="I6" s="17"/>
      <c r="J6" s="18"/>
      <c r="L6"/>
      <c r="M6" s="4"/>
      <c r="P6"/>
    </row>
    <row r="7" spans="2:16" ht="21" x14ac:dyDescent="0.5">
      <c r="B7" s="15" t="s">
        <v>13</v>
      </c>
      <c r="C7" s="15">
        <v>30</v>
      </c>
      <c r="D7" s="8" t="s">
        <v>6</v>
      </c>
      <c r="E7" s="9" t="s">
        <v>7</v>
      </c>
      <c r="G7" s="15"/>
      <c r="H7" s="16"/>
      <c r="I7" s="17"/>
      <c r="J7" s="18"/>
      <c r="L7"/>
      <c r="M7" s="4"/>
      <c r="P7"/>
    </row>
    <row r="8" spans="2:16" ht="21" x14ac:dyDescent="0.5">
      <c r="B8" s="15" t="s">
        <v>14</v>
      </c>
      <c r="C8" s="15">
        <v>30</v>
      </c>
      <c r="D8" s="8" t="s">
        <v>6</v>
      </c>
      <c r="E8" s="9" t="s">
        <v>7</v>
      </c>
      <c r="G8" s="15"/>
      <c r="H8" s="16"/>
      <c r="I8" s="17"/>
      <c r="J8" s="18"/>
      <c r="L8"/>
      <c r="M8" s="4"/>
      <c r="P8"/>
    </row>
    <row r="9" spans="2:16" ht="21" x14ac:dyDescent="0.5">
      <c r="B9" s="15" t="s">
        <v>15</v>
      </c>
      <c r="C9" s="15">
        <v>30</v>
      </c>
      <c r="D9" s="8" t="s">
        <v>6</v>
      </c>
      <c r="E9" s="9" t="s">
        <v>7</v>
      </c>
      <c r="G9" s="15" t="s">
        <v>16</v>
      </c>
      <c r="H9" s="16"/>
      <c r="I9" s="17"/>
      <c r="J9" s="18"/>
      <c r="L9"/>
      <c r="M9" s="4"/>
      <c r="P9"/>
    </row>
    <row r="10" spans="2:16" ht="21" x14ac:dyDescent="0.5">
      <c r="B10" s="15" t="s">
        <v>17</v>
      </c>
      <c r="C10" s="15">
        <v>30</v>
      </c>
      <c r="D10" s="8" t="s">
        <v>6</v>
      </c>
      <c r="E10" s="9" t="s">
        <v>7</v>
      </c>
      <c r="F10" s="15"/>
      <c r="G10" s="15"/>
      <c r="H10" s="16"/>
      <c r="I10" s="17"/>
      <c r="J10" s="18"/>
      <c r="L10"/>
      <c r="M10" s="4"/>
      <c r="P10"/>
    </row>
    <row r="11" spans="2:16" ht="21" x14ac:dyDescent="0.5">
      <c r="B11" s="15" t="s">
        <v>18</v>
      </c>
      <c r="C11" s="15">
        <v>5</v>
      </c>
      <c r="D11" s="8" t="s">
        <v>11</v>
      </c>
      <c r="E11" s="9" t="s">
        <v>7</v>
      </c>
      <c r="F11" s="15"/>
      <c r="G11" s="15"/>
      <c r="H11" s="16"/>
      <c r="I11" s="17"/>
      <c r="J11" s="18"/>
      <c r="L11"/>
      <c r="M11" s="4"/>
      <c r="P11"/>
    </row>
    <row r="12" spans="2:16" ht="21" x14ac:dyDescent="0.5">
      <c r="B12" s="15" t="s">
        <v>19</v>
      </c>
      <c r="C12" s="15">
        <v>50</v>
      </c>
      <c r="D12" s="8" t="s">
        <v>20</v>
      </c>
      <c r="E12" s="9" t="s">
        <v>21</v>
      </c>
      <c r="F12" s="15"/>
      <c r="G12" s="15"/>
      <c r="H12" s="16"/>
      <c r="I12" s="17"/>
      <c r="J12" s="18"/>
      <c r="L12"/>
      <c r="M12" s="4"/>
      <c r="P12"/>
    </row>
    <row r="13" spans="2:16" ht="21" x14ac:dyDescent="0.5">
      <c r="B13" s="15" t="s">
        <v>22</v>
      </c>
      <c r="C13" s="15">
        <v>30</v>
      </c>
      <c r="D13" s="8" t="s">
        <v>6</v>
      </c>
      <c r="E13" s="9" t="s">
        <v>7</v>
      </c>
      <c r="F13" s="15"/>
      <c r="G13" s="15"/>
      <c r="H13" s="16"/>
      <c r="I13" s="17"/>
      <c r="J13" s="18"/>
      <c r="L13"/>
      <c r="M13" s="4"/>
      <c r="P13"/>
    </row>
    <row r="14" spans="2:16" ht="21" x14ac:dyDescent="0.5">
      <c r="B14" s="15" t="s">
        <v>23</v>
      </c>
      <c r="C14" s="15">
        <v>50</v>
      </c>
      <c r="D14" s="8" t="s">
        <v>20</v>
      </c>
      <c r="E14" s="9" t="s">
        <v>21</v>
      </c>
      <c r="F14" s="15"/>
      <c r="G14" s="15"/>
      <c r="H14" s="16"/>
      <c r="I14" s="17"/>
      <c r="J14" s="18"/>
      <c r="L14"/>
      <c r="M14" s="4"/>
      <c r="P14"/>
    </row>
    <row r="15" spans="2:16" ht="21" x14ac:dyDescent="0.5">
      <c r="B15" s="15" t="s">
        <v>24</v>
      </c>
      <c r="C15" s="15">
        <v>20</v>
      </c>
      <c r="D15" s="8" t="s">
        <v>6</v>
      </c>
      <c r="E15" s="9" t="s">
        <v>7</v>
      </c>
      <c r="F15" s="15"/>
      <c r="G15" s="15"/>
      <c r="H15" s="16"/>
      <c r="I15" s="17"/>
      <c r="J15" s="18"/>
      <c r="L15"/>
      <c r="M15" s="4"/>
      <c r="P15"/>
    </row>
    <row r="16" spans="2:16" ht="21" x14ac:dyDescent="0.5">
      <c r="B16" s="15" t="s">
        <v>25</v>
      </c>
      <c r="C16" s="15">
        <v>20</v>
      </c>
      <c r="D16" s="8" t="s">
        <v>6</v>
      </c>
      <c r="E16" s="9" t="s">
        <v>7</v>
      </c>
      <c r="F16" s="15"/>
      <c r="G16" s="15"/>
      <c r="H16" s="16"/>
      <c r="I16" s="17"/>
      <c r="J16" s="18"/>
      <c r="L16"/>
      <c r="M16" s="4"/>
      <c r="P16"/>
    </row>
    <row r="17" spans="1:18" ht="21" x14ac:dyDescent="0.5">
      <c r="B17" s="15" t="s">
        <v>26</v>
      </c>
      <c r="C17" s="15">
        <v>35</v>
      </c>
      <c r="D17" s="8" t="s">
        <v>6</v>
      </c>
      <c r="E17" s="9" t="s">
        <v>7</v>
      </c>
      <c r="F17" s="15"/>
      <c r="G17" s="15"/>
      <c r="H17" s="16"/>
      <c r="I17" s="17"/>
      <c r="J17" s="18"/>
      <c r="L17"/>
      <c r="M17" s="4"/>
      <c r="P17"/>
    </row>
    <row r="18" spans="1:18" ht="21" x14ac:dyDescent="0.5">
      <c r="B18" s="15" t="s">
        <v>27</v>
      </c>
      <c r="C18" s="15">
        <v>35</v>
      </c>
      <c r="D18" s="8" t="s">
        <v>6</v>
      </c>
      <c r="E18" s="9" t="s">
        <v>7</v>
      </c>
      <c r="F18" s="15"/>
      <c r="G18" s="15"/>
      <c r="H18" s="16"/>
      <c r="I18" s="17"/>
      <c r="J18" s="18"/>
      <c r="L18"/>
      <c r="M18" s="4"/>
      <c r="P18"/>
    </row>
    <row r="19" spans="1:18" ht="21" x14ac:dyDescent="0.5">
      <c r="B19" s="15" t="s">
        <v>28</v>
      </c>
      <c r="C19" s="15">
        <v>35</v>
      </c>
      <c r="D19" s="8" t="s">
        <v>6</v>
      </c>
      <c r="E19" s="9" t="s">
        <v>7</v>
      </c>
      <c r="F19" s="15"/>
      <c r="G19" s="15"/>
      <c r="H19" s="16"/>
      <c r="I19" s="17"/>
      <c r="J19" s="18"/>
      <c r="L19"/>
      <c r="M19" s="4"/>
      <c r="P19"/>
    </row>
    <row r="20" spans="1:18" ht="21" x14ac:dyDescent="0.5">
      <c r="B20" s="15" t="s">
        <v>29</v>
      </c>
      <c r="C20" s="15">
        <v>25</v>
      </c>
      <c r="D20" s="8" t="s">
        <v>6</v>
      </c>
      <c r="E20" s="9" t="s">
        <v>7</v>
      </c>
      <c r="F20" s="15"/>
      <c r="G20" s="15"/>
      <c r="H20" s="16"/>
      <c r="I20" s="17"/>
      <c r="J20" s="18"/>
      <c r="L20"/>
      <c r="M20" s="4"/>
      <c r="P20"/>
    </row>
    <row r="21" spans="1:18" ht="21" x14ac:dyDescent="0.5">
      <c r="B21" s="15" t="s">
        <v>30</v>
      </c>
      <c r="C21" s="15">
        <v>25</v>
      </c>
      <c r="D21" s="8" t="s">
        <v>6</v>
      </c>
      <c r="E21" s="9" t="s">
        <v>7</v>
      </c>
      <c r="F21" s="15"/>
      <c r="G21" s="15"/>
      <c r="H21" s="16"/>
      <c r="I21" s="17"/>
      <c r="J21" s="18"/>
      <c r="L21"/>
      <c r="M21" s="4"/>
      <c r="P21"/>
    </row>
    <row r="22" spans="1:18" ht="21" x14ac:dyDescent="0.5">
      <c r="B22" s="15" t="s">
        <v>31</v>
      </c>
      <c r="C22" s="15">
        <v>30</v>
      </c>
      <c r="D22" s="8" t="s">
        <v>6</v>
      </c>
      <c r="E22" s="9" t="s">
        <v>7</v>
      </c>
      <c r="F22" s="15"/>
      <c r="G22" s="15"/>
      <c r="H22" s="16"/>
      <c r="I22" s="17"/>
      <c r="J22" s="18"/>
      <c r="L22"/>
      <c r="M22" s="4"/>
      <c r="P22"/>
    </row>
    <row r="23" spans="1:18" ht="21" x14ac:dyDescent="0.5">
      <c r="B23" s="15" t="s">
        <v>32</v>
      </c>
      <c r="C23" s="15">
        <v>35</v>
      </c>
      <c r="D23" s="8" t="s">
        <v>6</v>
      </c>
      <c r="E23" s="9" t="s">
        <v>7</v>
      </c>
      <c r="G23" s="15" t="s">
        <v>33</v>
      </c>
      <c r="H23" s="16"/>
      <c r="I23" s="17"/>
      <c r="J23" s="18"/>
      <c r="L23"/>
      <c r="M23" s="4"/>
      <c r="P23"/>
    </row>
    <row r="24" spans="1:18" ht="21" x14ac:dyDescent="0.5">
      <c r="B24" s="15" t="s">
        <v>34</v>
      </c>
      <c r="C24" s="15">
        <v>5</v>
      </c>
      <c r="D24" s="8" t="s">
        <v>35</v>
      </c>
      <c r="E24" s="9" t="s">
        <v>7</v>
      </c>
      <c r="F24" s="15"/>
      <c r="G24" s="15"/>
      <c r="H24" s="16"/>
      <c r="I24" s="17"/>
      <c r="J24" s="18"/>
      <c r="L24"/>
      <c r="M24" s="4"/>
      <c r="P24"/>
    </row>
    <row r="25" spans="1:18" ht="21" x14ac:dyDescent="0.5">
      <c r="B25" s="15" t="s">
        <v>36</v>
      </c>
      <c r="C25" s="15">
        <v>20</v>
      </c>
      <c r="D25" s="8" t="s">
        <v>6</v>
      </c>
      <c r="E25" s="9" t="s">
        <v>7</v>
      </c>
      <c r="F25" s="15"/>
      <c r="G25" s="15"/>
      <c r="H25" s="16"/>
      <c r="I25" s="17"/>
      <c r="J25" s="18"/>
      <c r="L25"/>
      <c r="M25" s="4"/>
      <c r="P25"/>
    </row>
    <row r="26" spans="1:18" x14ac:dyDescent="0.35">
      <c r="P26" s="4">
        <f>SUM(P29:P422)</f>
        <v>42514668.06678573</v>
      </c>
    </row>
    <row r="27" spans="1:18" ht="40.5" customHeight="1" x14ac:dyDescent="0.35">
      <c r="A27" s="22" t="s">
        <v>37</v>
      </c>
      <c r="C27" s="23" t="s">
        <v>38</v>
      </c>
      <c r="D27" s="23" t="s">
        <v>39</v>
      </c>
      <c r="E27" s="24" t="s">
        <v>40</v>
      </c>
      <c r="F27" s="25" t="s">
        <v>41</v>
      </c>
      <c r="G27" s="26" t="s">
        <v>42</v>
      </c>
      <c r="H27" s="27" t="s">
        <v>43</v>
      </c>
      <c r="I27" s="26" t="s">
        <v>44</v>
      </c>
      <c r="J27" s="28" t="s">
        <v>45</v>
      </c>
      <c r="K27" s="29" t="s">
        <v>1</v>
      </c>
      <c r="L27" s="30" t="s">
        <v>46</v>
      </c>
      <c r="M27" s="28" t="s">
        <v>47</v>
      </c>
      <c r="N27" s="31" t="s">
        <v>48</v>
      </c>
      <c r="O27" s="32" t="s">
        <v>49</v>
      </c>
      <c r="P27" s="28" t="s">
        <v>50</v>
      </c>
      <c r="Q27" s="25" t="s">
        <v>51</v>
      </c>
      <c r="R27" s="31" t="s">
        <v>52</v>
      </c>
    </row>
    <row r="28" spans="1:18" s="33" customFormat="1" x14ac:dyDescent="0.35">
      <c r="C28" s="34"/>
      <c r="D28" s="34"/>
      <c r="E28" s="35"/>
      <c r="F28" s="36"/>
      <c r="G28" s="37"/>
      <c r="H28" s="38"/>
      <c r="I28" s="39"/>
      <c r="J28" s="40"/>
      <c r="K28" s="41"/>
      <c r="L28" s="42"/>
      <c r="M28" s="41"/>
      <c r="N28" s="41"/>
      <c r="O28" s="41"/>
      <c r="P28" s="41"/>
      <c r="Q28" s="41"/>
      <c r="R28" s="43"/>
    </row>
    <row r="29" spans="1:18" x14ac:dyDescent="0.35">
      <c r="A29">
        <v>1</v>
      </c>
      <c r="G29" s="34" t="s">
        <v>53</v>
      </c>
      <c r="H29" s="44">
        <v>250103</v>
      </c>
      <c r="I29" s="1" t="s">
        <v>54</v>
      </c>
      <c r="J29" t="s">
        <v>55</v>
      </c>
      <c r="K29" s="45"/>
      <c r="L29"/>
      <c r="M29" s="4"/>
      <c r="N29" s="4">
        <v>244070.52</v>
      </c>
      <c r="O29" s="46"/>
      <c r="P29" s="6">
        <v>244070.52</v>
      </c>
      <c r="Q29" s="47">
        <f>M29-N29</f>
        <v>-244070.52</v>
      </c>
    </row>
    <row r="30" spans="1:18" x14ac:dyDescent="0.35">
      <c r="A30">
        <v>2</v>
      </c>
      <c r="G30" s="23" t="s">
        <v>53</v>
      </c>
      <c r="H30" s="44">
        <v>250103</v>
      </c>
      <c r="I30" s="1" t="s">
        <v>54</v>
      </c>
      <c r="J30" s="48" t="s">
        <v>13</v>
      </c>
      <c r="K30" s="49">
        <f>30*10</f>
        <v>300</v>
      </c>
      <c r="L30" s="4" t="s">
        <v>56</v>
      </c>
      <c r="M30" s="50">
        <v>234.02</v>
      </c>
      <c r="N30" s="51">
        <v>208.94642857142856</v>
      </c>
      <c r="O30" s="52"/>
      <c r="P30" s="6">
        <f>N30*K30</f>
        <v>62683.928571428565</v>
      </c>
      <c r="Q30" s="47"/>
    </row>
    <row r="31" spans="1:18" x14ac:dyDescent="0.35">
      <c r="A31">
        <v>3</v>
      </c>
      <c r="G31" s="23" t="s">
        <v>53</v>
      </c>
      <c r="H31" s="44">
        <v>250103</v>
      </c>
      <c r="I31" s="1" t="s">
        <v>54</v>
      </c>
      <c r="J31" s="48" t="s">
        <v>14</v>
      </c>
      <c r="K31" s="49">
        <f>30*10</f>
        <v>300</v>
      </c>
      <c r="L31" s="4" t="s">
        <v>56</v>
      </c>
      <c r="M31" s="50">
        <v>222.26</v>
      </c>
      <c r="N31" s="51">
        <v>198.44642857142856</v>
      </c>
      <c r="O31" s="52"/>
      <c r="P31" s="6">
        <f t="shared" ref="P31:P32" si="0">N31*K31</f>
        <v>59533.928571428565</v>
      </c>
      <c r="Q31" s="47"/>
    </row>
    <row r="32" spans="1:18" x14ac:dyDescent="0.35">
      <c r="A32">
        <v>4</v>
      </c>
      <c r="G32" s="23" t="s">
        <v>53</v>
      </c>
      <c r="H32" s="44">
        <v>250103</v>
      </c>
      <c r="I32" s="1" t="s">
        <v>54</v>
      </c>
      <c r="J32" s="48" t="s">
        <v>57</v>
      </c>
      <c r="K32" s="49">
        <f>25*10</f>
        <v>250</v>
      </c>
      <c r="L32" s="4" t="s">
        <v>56</v>
      </c>
      <c r="M32" s="50">
        <v>240</v>
      </c>
      <c r="N32" s="51">
        <v>214.29</v>
      </c>
      <c r="O32" s="52"/>
      <c r="P32" s="6">
        <f t="shared" si="0"/>
        <v>53572.5</v>
      </c>
      <c r="Q32" s="47"/>
    </row>
    <row r="33" spans="1:18" x14ac:dyDescent="0.35">
      <c r="A33">
        <v>5</v>
      </c>
      <c r="D33">
        <v>3956</v>
      </c>
      <c r="E33" s="1">
        <v>5228</v>
      </c>
      <c r="F33" s="7">
        <v>30</v>
      </c>
      <c r="G33" s="7">
        <v>5435</v>
      </c>
      <c r="H33" s="44">
        <v>250102</v>
      </c>
      <c r="I33" s="1" t="s">
        <v>58</v>
      </c>
      <c r="J33" s="53" t="s">
        <v>18</v>
      </c>
      <c r="K33" s="54">
        <v>11</v>
      </c>
      <c r="L33" s="53" t="s">
        <v>59</v>
      </c>
      <c r="M33" s="55">
        <v>1765</v>
      </c>
      <c r="N33" s="56">
        <f>M33/1.12</f>
        <v>1575.8928571428569</v>
      </c>
      <c r="O33" s="46">
        <f t="shared" ref="O33:O81" si="1">K33*M33</f>
        <v>19415</v>
      </c>
      <c r="P33" s="47">
        <f>K33*N33</f>
        <v>17334.821428571428</v>
      </c>
      <c r="Q33" s="47">
        <f>O33-P33</f>
        <v>2080.1785714285725</v>
      </c>
      <c r="R33" t="s">
        <v>60</v>
      </c>
    </row>
    <row r="34" spans="1:18" x14ac:dyDescent="0.35">
      <c r="A34">
        <v>6</v>
      </c>
      <c r="D34">
        <v>3991</v>
      </c>
      <c r="E34" s="1">
        <v>5229</v>
      </c>
      <c r="F34" s="7">
        <v>30</v>
      </c>
      <c r="G34" s="7">
        <v>5436</v>
      </c>
      <c r="H34" s="44">
        <v>250102</v>
      </c>
      <c r="I34" s="1" t="s">
        <v>58</v>
      </c>
      <c r="J34" s="53" t="s">
        <v>18</v>
      </c>
      <c r="K34" s="54">
        <v>50</v>
      </c>
      <c r="L34" s="53" t="s">
        <v>59</v>
      </c>
      <c r="M34" s="57">
        <v>1765</v>
      </c>
      <c r="N34" s="56">
        <f>M34/1.12</f>
        <v>1575.8928571428569</v>
      </c>
      <c r="O34" s="46">
        <f>K34*M34</f>
        <v>88250</v>
      </c>
      <c r="P34" s="47">
        <f t="shared" ref="P34:P81" si="2">K34*N34</f>
        <v>78794.642857142841</v>
      </c>
      <c r="Q34" s="47">
        <f t="shared" ref="Q34:Q97" si="3">O34-P34</f>
        <v>9455.3571428571595</v>
      </c>
    </row>
    <row r="35" spans="1:18" x14ac:dyDescent="0.35">
      <c r="A35">
        <v>7</v>
      </c>
      <c r="D35">
        <v>3948</v>
      </c>
      <c r="E35" s="1">
        <v>5230</v>
      </c>
      <c r="F35" s="7">
        <v>30</v>
      </c>
      <c r="G35" s="7">
        <v>5437</v>
      </c>
      <c r="H35" s="44">
        <v>250102</v>
      </c>
      <c r="I35" s="1" t="s">
        <v>58</v>
      </c>
      <c r="J35" s="53" t="s">
        <v>10</v>
      </c>
      <c r="K35" s="54">
        <v>1070</v>
      </c>
      <c r="L35" s="53" t="s">
        <v>59</v>
      </c>
      <c r="M35" s="57">
        <v>710</v>
      </c>
      <c r="N35" s="56">
        <f>M35/1.12</f>
        <v>633.92857142857133</v>
      </c>
      <c r="O35" s="46">
        <f t="shared" si="1"/>
        <v>759700</v>
      </c>
      <c r="P35" s="47">
        <f t="shared" si="2"/>
        <v>678303.57142857136</v>
      </c>
      <c r="Q35" s="47">
        <f t="shared" si="3"/>
        <v>81396.428571428638</v>
      </c>
      <c r="R35" t="s">
        <v>60</v>
      </c>
    </row>
    <row r="36" spans="1:18" x14ac:dyDescent="0.35">
      <c r="A36">
        <v>8</v>
      </c>
      <c r="D36">
        <v>1105</v>
      </c>
      <c r="E36" s="1">
        <v>5231</v>
      </c>
      <c r="F36" s="7">
        <v>60</v>
      </c>
      <c r="G36" s="7">
        <v>5438</v>
      </c>
      <c r="H36" s="44">
        <v>250103</v>
      </c>
      <c r="I36" s="1" t="s">
        <v>61</v>
      </c>
      <c r="J36" t="s">
        <v>18</v>
      </c>
      <c r="K36" s="45">
        <v>80</v>
      </c>
      <c r="L36" s="53" t="s">
        <v>59</v>
      </c>
      <c r="M36" s="4">
        <v>1700</v>
      </c>
      <c r="N36" s="56">
        <f>M36/1.12</f>
        <v>1517.8571428571427</v>
      </c>
      <c r="O36" s="46">
        <f t="shared" si="1"/>
        <v>136000</v>
      </c>
      <c r="P36" s="47">
        <f t="shared" si="2"/>
        <v>121428.57142857142</v>
      </c>
      <c r="Q36" s="47">
        <f t="shared" si="3"/>
        <v>14571.42857142858</v>
      </c>
      <c r="R36" t="s">
        <v>60</v>
      </c>
    </row>
    <row r="37" spans="1:18" x14ac:dyDescent="0.35">
      <c r="A37">
        <v>9</v>
      </c>
      <c r="D37">
        <v>1116</v>
      </c>
      <c r="E37" s="1">
        <v>5232</v>
      </c>
      <c r="F37" s="7">
        <v>60</v>
      </c>
      <c r="G37" s="7">
        <v>5439</v>
      </c>
      <c r="H37" s="44">
        <v>250103</v>
      </c>
      <c r="I37" s="1" t="s">
        <v>61</v>
      </c>
      <c r="J37" s="53" t="s">
        <v>18</v>
      </c>
      <c r="K37" s="45">
        <v>200</v>
      </c>
      <c r="L37" s="53" t="s">
        <v>59</v>
      </c>
      <c r="M37" s="4">
        <v>1700</v>
      </c>
      <c r="N37" s="56">
        <f>M37/1.12</f>
        <v>1517.8571428571427</v>
      </c>
      <c r="O37" s="46">
        <f t="shared" si="1"/>
        <v>340000</v>
      </c>
      <c r="P37" s="47">
        <f t="shared" si="2"/>
        <v>303571.42857142852</v>
      </c>
      <c r="Q37" s="47">
        <f t="shared" si="3"/>
        <v>36428.571428571478</v>
      </c>
    </row>
    <row r="38" spans="1:18" x14ac:dyDescent="0.35">
      <c r="A38">
        <v>10</v>
      </c>
      <c r="D38">
        <v>5000525966</v>
      </c>
      <c r="E38" s="1">
        <v>5227</v>
      </c>
      <c r="F38" s="7">
        <v>60</v>
      </c>
      <c r="G38" s="7">
        <v>5440</v>
      </c>
      <c r="H38" s="44">
        <v>250102</v>
      </c>
      <c r="I38" s="1" t="s">
        <v>62</v>
      </c>
      <c r="J38" t="s">
        <v>13</v>
      </c>
      <c r="K38" s="45">
        <v>270</v>
      </c>
      <c r="L38" t="s">
        <v>56</v>
      </c>
      <c r="M38" s="4">
        <v>358.4</v>
      </c>
      <c r="N38" s="56">
        <f>M38/1.12</f>
        <v>319.99999999999994</v>
      </c>
      <c r="O38" s="46">
        <f t="shared" si="1"/>
        <v>96768</v>
      </c>
      <c r="P38" s="47">
        <f t="shared" si="2"/>
        <v>86399.999999999985</v>
      </c>
      <c r="Q38" s="47">
        <f t="shared" si="3"/>
        <v>10368.000000000015</v>
      </c>
      <c r="R38" t="s">
        <v>63</v>
      </c>
    </row>
    <row r="39" spans="1:18" x14ac:dyDescent="0.35">
      <c r="A39">
        <v>11</v>
      </c>
      <c r="D39">
        <v>5000525966</v>
      </c>
      <c r="E39" s="1">
        <v>5227</v>
      </c>
      <c r="F39" s="7">
        <v>60</v>
      </c>
      <c r="G39" s="7">
        <v>5440</v>
      </c>
      <c r="H39" s="44">
        <v>250102</v>
      </c>
      <c r="I39" s="1" t="s">
        <v>62</v>
      </c>
      <c r="J39" t="s">
        <v>14</v>
      </c>
      <c r="K39" s="45">
        <v>330</v>
      </c>
      <c r="L39" s="53" t="s">
        <v>56</v>
      </c>
      <c r="M39" s="4">
        <v>353.92</v>
      </c>
      <c r="N39" s="56">
        <f>M39/1.12</f>
        <v>316</v>
      </c>
      <c r="O39" s="46">
        <f t="shared" si="1"/>
        <v>116793.60000000001</v>
      </c>
      <c r="P39" s="47">
        <f t="shared" si="2"/>
        <v>104280</v>
      </c>
      <c r="Q39" s="47">
        <f t="shared" si="3"/>
        <v>12513.600000000006</v>
      </c>
      <c r="R39" t="s">
        <v>63</v>
      </c>
    </row>
    <row r="40" spans="1:18" x14ac:dyDescent="0.35">
      <c r="A40">
        <v>12</v>
      </c>
      <c r="D40">
        <v>5000525966</v>
      </c>
      <c r="E40" s="1">
        <v>5227</v>
      </c>
      <c r="F40" s="7">
        <v>60</v>
      </c>
      <c r="G40" s="7">
        <v>5440</v>
      </c>
      <c r="H40" s="44">
        <v>250102</v>
      </c>
      <c r="I40" s="1" t="s">
        <v>62</v>
      </c>
      <c r="J40" t="s">
        <v>8</v>
      </c>
      <c r="K40" s="45">
        <v>350</v>
      </c>
      <c r="L40" s="53" t="s">
        <v>56</v>
      </c>
      <c r="M40" s="4">
        <v>364</v>
      </c>
      <c r="N40" s="56">
        <f>M40/1.12</f>
        <v>324.99999999999994</v>
      </c>
      <c r="O40" s="46">
        <f t="shared" si="1"/>
        <v>127400</v>
      </c>
      <c r="P40" s="47">
        <f t="shared" si="2"/>
        <v>113749.99999999999</v>
      </c>
      <c r="Q40" s="47">
        <f t="shared" si="3"/>
        <v>13650.000000000015</v>
      </c>
      <c r="R40" t="s">
        <v>64</v>
      </c>
    </row>
    <row r="41" spans="1:18" x14ac:dyDescent="0.35">
      <c r="A41">
        <v>13</v>
      </c>
      <c r="D41">
        <v>5000525966</v>
      </c>
      <c r="E41" s="1">
        <v>5226</v>
      </c>
      <c r="F41" s="7">
        <v>60</v>
      </c>
      <c r="G41" s="7">
        <v>5441</v>
      </c>
      <c r="H41" s="44">
        <v>250102</v>
      </c>
      <c r="I41" s="1" t="s">
        <v>62</v>
      </c>
      <c r="J41" t="s">
        <v>65</v>
      </c>
      <c r="K41" s="45">
        <v>446</v>
      </c>
      <c r="L41" t="s">
        <v>56</v>
      </c>
      <c r="M41" s="4">
        <v>20.38</v>
      </c>
      <c r="N41" s="56">
        <f>M41/1.12</f>
        <v>18.196428571428569</v>
      </c>
      <c r="O41" s="46">
        <f t="shared" si="1"/>
        <v>9089.48</v>
      </c>
      <c r="P41" s="47">
        <f t="shared" si="2"/>
        <v>8115.6071428571422</v>
      </c>
      <c r="Q41" s="47">
        <f t="shared" si="3"/>
        <v>973.87285714285736</v>
      </c>
    </row>
    <row r="42" spans="1:18" x14ac:dyDescent="0.35">
      <c r="A42">
        <v>14</v>
      </c>
      <c r="D42" s="58" t="s">
        <v>66</v>
      </c>
      <c r="E42" s="1">
        <v>5200</v>
      </c>
      <c r="F42" s="7">
        <v>30</v>
      </c>
      <c r="G42" s="7">
        <v>5442</v>
      </c>
      <c r="H42" s="44">
        <v>250103</v>
      </c>
      <c r="I42" s="1" t="s">
        <v>67</v>
      </c>
      <c r="J42" t="s">
        <v>68</v>
      </c>
      <c r="K42" s="45">
        <v>1</v>
      </c>
      <c r="L42" s="53" t="s">
        <v>69</v>
      </c>
      <c r="M42" s="4">
        <v>323680</v>
      </c>
      <c r="N42" s="56">
        <f>M42/1.12</f>
        <v>289000</v>
      </c>
      <c r="O42" s="46">
        <f t="shared" si="1"/>
        <v>323680</v>
      </c>
      <c r="P42" s="47">
        <f t="shared" si="2"/>
        <v>289000</v>
      </c>
      <c r="Q42" s="47">
        <f t="shared" si="3"/>
        <v>34680</v>
      </c>
    </row>
    <row r="43" spans="1:18" x14ac:dyDescent="0.35">
      <c r="A43">
        <v>15</v>
      </c>
      <c r="D43" s="58" t="s">
        <v>66</v>
      </c>
      <c r="E43" s="1">
        <v>5200</v>
      </c>
      <c r="F43" s="7">
        <v>30</v>
      </c>
      <c r="G43" s="7">
        <v>5442</v>
      </c>
      <c r="H43" s="44">
        <v>250103</v>
      </c>
      <c r="I43" s="1" t="s">
        <v>67</v>
      </c>
      <c r="J43" t="s">
        <v>13</v>
      </c>
      <c r="K43" s="45">
        <f>30*8</f>
        <v>240</v>
      </c>
      <c r="L43" s="53" t="s">
        <v>56</v>
      </c>
      <c r="M43" s="4">
        <v>234.02</v>
      </c>
      <c r="N43" s="56">
        <f>M43/1.12</f>
        <v>208.94642857142856</v>
      </c>
      <c r="O43" s="46">
        <f t="shared" si="1"/>
        <v>56164.800000000003</v>
      </c>
      <c r="P43" s="47">
        <f t="shared" si="2"/>
        <v>50147.142857142855</v>
      </c>
      <c r="Q43" s="47">
        <f t="shared" si="3"/>
        <v>6017.6571428571478</v>
      </c>
    </row>
    <row r="44" spans="1:18" x14ac:dyDescent="0.35">
      <c r="A44">
        <v>16</v>
      </c>
      <c r="D44" s="58" t="s">
        <v>66</v>
      </c>
      <c r="E44" s="1">
        <v>5200</v>
      </c>
      <c r="F44" s="7">
        <v>30</v>
      </c>
      <c r="G44" s="7">
        <v>5442</v>
      </c>
      <c r="H44" s="44">
        <v>250103</v>
      </c>
      <c r="I44" s="1" t="s">
        <v>67</v>
      </c>
      <c r="J44" t="s">
        <v>14</v>
      </c>
      <c r="K44" s="45">
        <f>30*8</f>
        <v>240</v>
      </c>
      <c r="L44" s="53" t="s">
        <v>56</v>
      </c>
      <c r="M44" s="4">
        <v>222.26</v>
      </c>
      <c r="N44" s="56">
        <f>M44/1.12</f>
        <v>198.44642857142856</v>
      </c>
      <c r="O44" s="46">
        <f t="shared" si="1"/>
        <v>53342.399999999994</v>
      </c>
      <c r="P44" s="47">
        <f t="shared" si="2"/>
        <v>47627.142857142855</v>
      </c>
      <c r="Q44" s="47">
        <f t="shared" si="3"/>
        <v>5715.2571428571391</v>
      </c>
    </row>
    <row r="45" spans="1:18" x14ac:dyDescent="0.35">
      <c r="A45">
        <v>17</v>
      </c>
      <c r="D45" s="58" t="s">
        <v>66</v>
      </c>
      <c r="E45" s="1">
        <v>5200</v>
      </c>
      <c r="F45" s="7">
        <v>30</v>
      </c>
      <c r="G45" s="7">
        <v>5442</v>
      </c>
      <c r="H45" s="44">
        <v>250103</v>
      </c>
      <c r="I45" s="1" t="s">
        <v>67</v>
      </c>
      <c r="J45" t="s">
        <v>57</v>
      </c>
      <c r="K45" s="45">
        <f>25*20</f>
        <v>500</v>
      </c>
      <c r="L45" s="53" t="s">
        <v>56</v>
      </c>
      <c r="M45" s="4">
        <v>240</v>
      </c>
      <c r="N45" s="56">
        <f>M45/1.12</f>
        <v>214.28571428571428</v>
      </c>
      <c r="O45" s="46">
        <f t="shared" si="1"/>
        <v>120000</v>
      </c>
      <c r="P45" s="47">
        <f t="shared" si="2"/>
        <v>107142.85714285714</v>
      </c>
      <c r="Q45" s="47">
        <f t="shared" si="3"/>
        <v>12857.142857142855</v>
      </c>
    </row>
    <row r="46" spans="1:18" x14ac:dyDescent="0.35">
      <c r="A46">
        <v>18</v>
      </c>
      <c r="D46">
        <v>1108</v>
      </c>
      <c r="E46" s="1">
        <v>5236</v>
      </c>
      <c r="F46" s="7">
        <v>60</v>
      </c>
      <c r="G46" s="7">
        <v>5443</v>
      </c>
      <c r="H46" s="44">
        <v>250103</v>
      </c>
      <c r="I46" s="1" t="s">
        <v>61</v>
      </c>
      <c r="J46" t="s">
        <v>18</v>
      </c>
      <c r="K46" s="45">
        <v>200</v>
      </c>
      <c r="L46" s="53" t="s">
        <v>59</v>
      </c>
      <c r="M46" s="4">
        <v>1700</v>
      </c>
      <c r="N46" s="56">
        <f>M46/1.12</f>
        <v>1517.8571428571427</v>
      </c>
      <c r="O46" s="46">
        <f t="shared" si="1"/>
        <v>340000</v>
      </c>
      <c r="P46" s="47">
        <f t="shared" si="2"/>
        <v>303571.42857142852</v>
      </c>
      <c r="Q46" s="47">
        <f t="shared" si="3"/>
        <v>36428.571428571478</v>
      </c>
    </row>
    <row r="47" spans="1:18" x14ac:dyDescent="0.35">
      <c r="A47">
        <v>19</v>
      </c>
      <c r="D47" s="58" t="s">
        <v>70</v>
      </c>
      <c r="E47" s="1">
        <v>5235</v>
      </c>
      <c r="F47" s="7">
        <v>30</v>
      </c>
      <c r="G47" s="7">
        <v>5444</v>
      </c>
      <c r="H47" s="44">
        <v>250108</v>
      </c>
      <c r="I47" s="1" t="s">
        <v>71</v>
      </c>
      <c r="J47" t="s">
        <v>29</v>
      </c>
      <c r="K47" s="45">
        <v>300</v>
      </c>
      <c r="L47" t="s">
        <v>56</v>
      </c>
      <c r="M47" s="4">
        <v>311.04000000000002</v>
      </c>
      <c r="N47" s="56">
        <f>M47/1.12</f>
        <v>277.71428571428572</v>
      </c>
      <c r="O47" s="46">
        <f t="shared" si="1"/>
        <v>93312</v>
      </c>
      <c r="P47" s="47">
        <f t="shared" si="2"/>
        <v>83314.28571428571</v>
      </c>
      <c r="Q47" s="47">
        <f t="shared" si="3"/>
        <v>9997.7142857142899</v>
      </c>
      <c r="R47" s="47"/>
    </row>
    <row r="48" spans="1:18" x14ac:dyDescent="0.35">
      <c r="A48">
        <v>20</v>
      </c>
      <c r="D48" s="58" t="s">
        <v>70</v>
      </c>
      <c r="E48" s="1">
        <v>5237</v>
      </c>
      <c r="F48" s="7">
        <v>30</v>
      </c>
      <c r="G48" s="7">
        <v>5444</v>
      </c>
      <c r="H48" s="44">
        <v>250108</v>
      </c>
      <c r="I48" s="1" t="s">
        <v>71</v>
      </c>
      <c r="J48" t="s">
        <v>30</v>
      </c>
      <c r="K48" s="45">
        <v>240</v>
      </c>
      <c r="L48" t="s">
        <v>56</v>
      </c>
      <c r="M48" s="4">
        <v>294</v>
      </c>
      <c r="N48" s="56">
        <f>M48/1.12</f>
        <v>262.5</v>
      </c>
      <c r="O48" s="46">
        <f t="shared" si="1"/>
        <v>70560</v>
      </c>
      <c r="P48" s="47">
        <f t="shared" si="2"/>
        <v>63000</v>
      </c>
      <c r="Q48" s="47">
        <f t="shared" si="3"/>
        <v>7560</v>
      </c>
      <c r="R48" s="47"/>
    </row>
    <row r="49" spans="1:18" x14ac:dyDescent="0.35">
      <c r="A49">
        <v>21</v>
      </c>
      <c r="D49">
        <v>1076</v>
      </c>
      <c r="E49" s="1">
        <v>5238</v>
      </c>
      <c r="F49" s="7">
        <v>60</v>
      </c>
      <c r="G49" s="7">
        <v>5445</v>
      </c>
      <c r="H49" s="44">
        <v>250109</v>
      </c>
      <c r="I49" s="1" t="s">
        <v>61</v>
      </c>
      <c r="J49" t="s">
        <v>10</v>
      </c>
      <c r="K49" s="45">
        <v>750</v>
      </c>
      <c r="L49" t="s">
        <v>59</v>
      </c>
      <c r="M49" s="4">
        <v>710</v>
      </c>
      <c r="N49" s="56">
        <f>M49/1.12</f>
        <v>633.92857142857133</v>
      </c>
      <c r="O49" s="46">
        <f t="shared" si="1"/>
        <v>532500</v>
      </c>
      <c r="P49" s="47">
        <f t="shared" si="2"/>
        <v>475446.42857142852</v>
      </c>
      <c r="Q49" s="47">
        <f t="shared" si="3"/>
        <v>57053.571428571478</v>
      </c>
    </row>
    <row r="50" spans="1:18" x14ac:dyDescent="0.35">
      <c r="A50">
        <v>22</v>
      </c>
      <c r="D50">
        <v>1108</v>
      </c>
      <c r="E50" s="1">
        <v>5239</v>
      </c>
      <c r="F50" s="7">
        <v>60</v>
      </c>
      <c r="G50" s="7">
        <v>5446</v>
      </c>
      <c r="H50" s="44">
        <v>250109</v>
      </c>
      <c r="I50" s="1" t="s">
        <v>61</v>
      </c>
      <c r="J50" t="s">
        <v>10</v>
      </c>
      <c r="K50" s="45">
        <v>400</v>
      </c>
      <c r="L50" t="s">
        <v>56</v>
      </c>
      <c r="M50" s="4">
        <v>710</v>
      </c>
      <c r="N50" s="56">
        <f>M50/1.12</f>
        <v>633.92857142857133</v>
      </c>
      <c r="O50" s="46">
        <f t="shared" si="1"/>
        <v>284000</v>
      </c>
      <c r="P50" s="47">
        <f t="shared" si="2"/>
        <v>253571.42857142852</v>
      </c>
      <c r="Q50" s="47">
        <f t="shared" si="3"/>
        <v>30428.571428571478</v>
      </c>
    </row>
    <row r="51" spans="1:18" x14ac:dyDescent="0.35">
      <c r="A51">
        <v>23</v>
      </c>
      <c r="D51">
        <v>1086</v>
      </c>
      <c r="E51" s="1">
        <v>5240</v>
      </c>
      <c r="F51" s="7">
        <v>60</v>
      </c>
      <c r="G51" s="7">
        <v>5447</v>
      </c>
      <c r="H51" s="44">
        <v>250109</v>
      </c>
      <c r="I51" s="1" t="s">
        <v>61</v>
      </c>
      <c r="J51" t="s">
        <v>10</v>
      </c>
      <c r="K51" s="45">
        <v>70</v>
      </c>
      <c r="L51" t="s">
        <v>59</v>
      </c>
      <c r="M51" s="4">
        <v>710</v>
      </c>
      <c r="N51" s="56">
        <f>M51/1.12</f>
        <v>633.92857142857133</v>
      </c>
      <c r="O51" s="46">
        <f t="shared" si="1"/>
        <v>49700</v>
      </c>
      <c r="P51" s="47">
        <f t="shared" si="2"/>
        <v>44374.999999999993</v>
      </c>
      <c r="Q51" s="47">
        <f t="shared" si="3"/>
        <v>5325.0000000000073</v>
      </c>
    </row>
    <row r="52" spans="1:18" x14ac:dyDescent="0.35">
      <c r="A52">
        <v>24</v>
      </c>
      <c r="D52">
        <v>12764</v>
      </c>
      <c r="E52" s="1">
        <v>5241</v>
      </c>
      <c r="F52" s="7">
        <v>30</v>
      </c>
      <c r="G52" s="7">
        <v>5448</v>
      </c>
      <c r="H52" s="44">
        <v>250114</v>
      </c>
      <c r="I52" s="1" t="s">
        <v>72</v>
      </c>
      <c r="J52" t="s">
        <v>15</v>
      </c>
      <c r="K52" s="45">
        <v>720</v>
      </c>
      <c r="L52" s="53" t="s">
        <v>56</v>
      </c>
      <c r="M52" s="4"/>
      <c r="N52" s="56">
        <v>288.5</v>
      </c>
      <c r="O52" s="46">
        <f t="shared" si="1"/>
        <v>0</v>
      </c>
      <c r="P52" s="47">
        <f t="shared" si="2"/>
        <v>207720</v>
      </c>
      <c r="Q52" s="47">
        <f t="shared" si="3"/>
        <v>-207720</v>
      </c>
    </row>
    <row r="53" spans="1:18" x14ac:dyDescent="0.35">
      <c r="A53">
        <v>25</v>
      </c>
      <c r="D53">
        <v>12764</v>
      </c>
      <c r="E53" s="1">
        <v>5241</v>
      </c>
      <c r="F53" s="7">
        <v>30</v>
      </c>
      <c r="G53" s="7">
        <v>5448</v>
      </c>
      <c r="H53" s="44">
        <v>250114</v>
      </c>
      <c r="I53" s="1" t="s">
        <v>72</v>
      </c>
      <c r="J53" t="s">
        <v>13</v>
      </c>
      <c r="K53" s="45">
        <v>150</v>
      </c>
      <c r="L53" s="53" t="s">
        <v>56</v>
      </c>
      <c r="M53" s="4"/>
      <c r="N53" s="56">
        <v>300.5</v>
      </c>
      <c r="O53" s="46">
        <f t="shared" si="1"/>
        <v>0</v>
      </c>
      <c r="P53" s="47">
        <f t="shared" si="2"/>
        <v>45075</v>
      </c>
      <c r="Q53" s="47">
        <f t="shared" si="3"/>
        <v>-45075</v>
      </c>
    </row>
    <row r="54" spans="1:18" x14ac:dyDescent="0.35">
      <c r="A54">
        <v>26</v>
      </c>
      <c r="D54">
        <v>12764</v>
      </c>
      <c r="E54" s="1">
        <v>5241</v>
      </c>
      <c r="F54" s="7">
        <v>30</v>
      </c>
      <c r="G54" s="7">
        <v>5448</v>
      </c>
      <c r="H54" s="44">
        <v>250114</v>
      </c>
      <c r="I54" s="1" t="s">
        <v>72</v>
      </c>
      <c r="J54" t="s">
        <v>57</v>
      </c>
      <c r="K54" s="45">
        <v>700</v>
      </c>
      <c r="L54" s="53" t="s">
        <v>56</v>
      </c>
      <c r="M54" s="4"/>
      <c r="N54" s="56">
        <v>304.75</v>
      </c>
      <c r="O54" s="46">
        <f t="shared" si="1"/>
        <v>0</v>
      </c>
      <c r="P54" s="47">
        <f t="shared" si="2"/>
        <v>213325</v>
      </c>
      <c r="Q54" s="47">
        <f t="shared" si="3"/>
        <v>-213325</v>
      </c>
    </row>
    <row r="55" spans="1:18" x14ac:dyDescent="0.35">
      <c r="A55">
        <v>27</v>
      </c>
      <c r="D55">
        <v>3948</v>
      </c>
      <c r="E55" s="1">
        <v>5242</v>
      </c>
      <c r="F55" s="7">
        <v>30</v>
      </c>
      <c r="G55" s="7">
        <v>5449</v>
      </c>
      <c r="H55" s="44">
        <v>250115</v>
      </c>
      <c r="I55" s="1" t="s">
        <v>58</v>
      </c>
      <c r="J55" t="s">
        <v>10</v>
      </c>
      <c r="K55" s="45">
        <v>1070</v>
      </c>
      <c r="L55" s="53" t="s">
        <v>59</v>
      </c>
      <c r="M55" s="4">
        <v>710</v>
      </c>
      <c r="N55" s="56">
        <f>M55/1.12</f>
        <v>633.92857142857133</v>
      </c>
      <c r="O55" s="46">
        <f t="shared" si="1"/>
        <v>759700</v>
      </c>
      <c r="P55" s="47">
        <f t="shared" si="2"/>
        <v>678303.57142857136</v>
      </c>
      <c r="Q55" s="47">
        <f t="shared" si="3"/>
        <v>81396.428571428638</v>
      </c>
    </row>
    <row r="56" spans="1:18" x14ac:dyDescent="0.35">
      <c r="A56">
        <v>28</v>
      </c>
      <c r="D56">
        <v>20250103</v>
      </c>
      <c r="E56" s="1">
        <v>5243</v>
      </c>
      <c r="F56" s="7">
        <v>30</v>
      </c>
      <c r="G56" s="7">
        <v>5450</v>
      </c>
      <c r="H56" s="44">
        <v>250117</v>
      </c>
      <c r="I56" s="1" t="s">
        <v>73</v>
      </c>
      <c r="J56" t="s">
        <v>26</v>
      </c>
      <c r="K56" s="45">
        <v>6</v>
      </c>
      <c r="L56" s="53" t="s">
        <v>74</v>
      </c>
      <c r="M56" s="4">
        <v>15950</v>
      </c>
      <c r="N56" s="56">
        <f>M56/1.12</f>
        <v>14241.071428571428</v>
      </c>
      <c r="O56" s="46">
        <f t="shared" si="1"/>
        <v>95700</v>
      </c>
      <c r="P56" s="47">
        <f t="shared" si="2"/>
        <v>85446.428571428565</v>
      </c>
      <c r="Q56" s="47">
        <f t="shared" si="3"/>
        <v>10253.571428571435</v>
      </c>
    </row>
    <row r="57" spans="1:18" x14ac:dyDescent="0.35">
      <c r="A57">
        <v>29</v>
      </c>
      <c r="D57">
        <v>20250103</v>
      </c>
      <c r="E57" s="1">
        <v>5243</v>
      </c>
      <c r="F57" s="7">
        <v>30</v>
      </c>
      <c r="G57" s="7">
        <v>5450</v>
      </c>
      <c r="H57" s="44">
        <v>250117</v>
      </c>
      <c r="I57" s="1" t="s">
        <v>73</v>
      </c>
      <c r="J57" t="s">
        <v>28</v>
      </c>
      <c r="K57" s="45">
        <v>2</v>
      </c>
      <c r="L57" s="53" t="s">
        <v>74</v>
      </c>
      <c r="M57" s="4">
        <v>8347.5</v>
      </c>
      <c r="N57" s="56">
        <f>M57/1.12</f>
        <v>7453.1249999999991</v>
      </c>
      <c r="O57" s="46">
        <f t="shared" si="1"/>
        <v>16695</v>
      </c>
      <c r="P57" s="47">
        <f t="shared" si="2"/>
        <v>14906.249999999998</v>
      </c>
      <c r="Q57" s="47">
        <f t="shared" si="3"/>
        <v>1788.7500000000018</v>
      </c>
    </row>
    <row r="58" spans="1:18" ht="14.15" customHeight="1" x14ac:dyDescent="0.35">
      <c r="A58">
        <v>30</v>
      </c>
      <c r="D58" s="58" t="s">
        <v>75</v>
      </c>
      <c r="E58" s="1">
        <v>5244</v>
      </c>
      <c r="F58" s="7">
        <v>30</v>
      </c>
      <c r="G58" s="7">
        <v>5451</v>
      </c>
      <c r="H58" s="44">
        <v>250117</v>
      </c>
      <c r="I58" s="1" t="s">
        <v>76</v>
      </c>
      <c r="J58" t="s">
        <v>26</v>
      </c>
      <c r="K58" s="45">
        <v>1050</v>
      </c>
      <c r="L58" t="s">
        <v>56</v>
      </c>
      <c r="M58" s="4">
        <v>348.3</v>
      </c>
      <c r="N58" s="56">
        <f>M58/1.12</f>
        <v>310.98214285714283</v>
      </c>
      <c r="O58" s="46">
        <f t="shared" si="1"/>
        <v>365715</v>
      </c>
      <c r="P58" s="47">
        <f t="shared" si="2"/>
        <v>326531.25</v>
      </c>
      <c r="Q58" s="47">
        <f t="shared" si="3"/>
        <v>39183.75</v>
      </c>
      <c r="R58" t="s">
        <v>77</v>
      </c>
    </row>
    <row r="59" spans="1:18" ht="14.15" customHeight="1" x14ac:dyDescent="0.35">
      <c r="A59">
        <v>31</v>
      </c>
      <c r="D59" s="58" t="s">
        <v>75</v>
      </c>
      <c r="E59" s="1">
        <v>5244</v>
      </c>
      <c r="F59" s="7">
        <v>30</v>
      </c>
      <c r="G59" s="7">
        <v>5451</v>
      </c>
      <c r="H59" s="44">
        <v>250117</v>
      </c>
      <c r="I59" s="1" t="s">
        <v>76</v>
      </c>
      <c r="J59" t="s">
        <v>29</v>
      </c>
      <c r="K59" s="45">
        <v>1250</v>
      </c>
      <c r="L59" s="53" t="s">
        <v>56</v>
      </c>
      <c r="M59" s="4">
        <v>311.04000000000002</v>
      </c>
      <c r="N59" s="56">
        <f>M59/1.12</f>
        <v>277.71428571428572</v>
      </c>
      <c r="O59" s="46">
        <f t="shared" si="1"/>
        <v>388800</v>
      </c>
      <c r="P59" s="47">
        <f t="shared" si="2"/>
        <v>347142.85714285716</v>
      </c>
      <c r="Q59" s="47">
        <f t="shared" si="3"/>
        <v>41657.142857142841</v>
      </c>
      <c r="R59" t="s">
        <v>64</v>
      </c>
    </row>
    <row r="60" spans="1:18" x14ac:dyDescent="0.35">
      <c r="A60">
        <v>32</v>
      </c>
      <c r="D60">
        <v>2088</v>
      </c>
      <c r="E60" s="1">
        <v>5245</v>
      </c>
      <c r="F60" s="7">
        <v>30</v>
      </c>
      <c r="G60" s="7">
        <v>5452</v>
      </c>
      <c r="H60" s="44">
        <v>250117</v>
      </c>
      <c r="I60" s="1" t="s">
        <v>78</v>
      </c>
      <c r="J60" t="s">
        <v>79</v>
      </c>
      <c r="K60" s="45">
        <v>6</v>
      </c>
      <c r="L60" t="s">
        <v>74</v>
      </c>
      <c r="M60" s="4">
        <v>10214.4</v>
      </c>
      <c r="N60" s="56">
        <f>M60/1.12</f>
        <v>9119.9999999999982</v>
      </c>
      <c r="O60" s="46">
        <f t="shared" si="1"/>
        <v>61286.399999999994</v>
      </c>
      <c r="P60" s="47">
        <f t="shared" si="2"/>
        <v>54719.999999999985</v>
      </c>
      <c r="Q60" s="47">
        <f t="shared" si="3"/>
        <v>6566.4000000000087</v>
      </c>
      <c r="R60" t="s">
        <v>63</v>
      </c>
    </row>
    <row r="61" spans="1:18" x14ac:dyDescent="0.35">
      <c r="A61">
        <v>33</v>
      </c>
      <c r="E61" s="1">
        <v>5246</v>
      </c>
      <c r="F61" s="7"/>
      <c r="G61" s="7">
        <v>5453</v>
      </c>
      <c r="H61" s="44">
        <v>250117</v>
      </c>
      <c r="I61" s="1" t="s">
        <v>80</v>
      </c>
      <c r="J61" t="s">
        <v>10</v>
      </c>
      <c r="K61" s="45">
        <v>100</v>
      </c>
      <c r="L61" t="s">
        <v>59</v>
      </c>
      <c r="M61" s="4">
        <v>1500</v>
      </c>
      <c r="N61" s="56">
        <f>M61/1.12</f>
        <v>1339.2857142857142</v>
      </c>
      <c r="O61" s="46">
        <f t="shared" si="1"/>
        <v>150000</v>
      </c>
      <c r="P61" s="47">
        <f t="shared" si="2"/>
        <v>133928.57142857142</v>
      </c>
      <c r="Q61" s="47">
        <f t="shared" si="3"/>
        <v>16071.42857142858</v>
      </c>
    </row>
    <row r="62" spans="1:18" x14ac:dyDescent="0.35">
      <c r="A62">
        <v>34</v>
      </c>
      <c r="E62" s="1">
        <v>5247</v>
      </c>
      <c r="F62" s="7"/>
      <c r="G62" s="7">
        <v>5454</v>
      </c>
      <c r="H62" s="44">
        <v>250117</v>
      </c>
      <c r="I62" s="1" t="s">
        <v>80</v>
      </c>
      <c r="J62" t="s">
        <v>10</v>
      </c>
      <c r="K62" s="45">
        <v>28</v>
      </c>
      <c r="L62" s="53" t="s">
        <v>59</v>
      </c>
      <c r="M62" s="4">
        <v>1500</v>
      </c>
      <c r="N62" s="56">
        <f>M62/1.12</f>
        <v>1339.2857142857142</v>
      </c>
      <c r="O62" s="46">
        <f t="shared" si="1"/>
        <v>42000</v>
      </c>
      <c r="P62" s="47">
        <f t="shared" si="2"/>
        <v>37500</v>
      </c>
      <c r="Q62" s="47">
        <f t="shared" si="3"/>
        <v>4500</v>
      </c>
    </row>
    <row r="63" spans="1:18" x14ac:dyDescent="0.35">
      <c r="A63">
        <v>35</v>
      </c>
      <c r="D63">
        <v>233</v>
      </c>
      <c r="E63" s="1">
        <v>5248</v>
      </c>
      <c r="F63" s="7">
        <v>30</v>
      </c>
      <c r="G63" s="7">
        <v>5455</v>
      </c>
      <c r="H63" s="44">
        <v>250121</v>
      </c>
      <c r="I63" s="1" t="s">
        <v>81</v>
      </c>
      <c r="J63" t="s">
        <v>13</v>
      </c>
      <c r="K63" s="45">
        <v>6</v>
      </c>
      <c r="L63" t="s">
        <v>74</v>
      </c>
      <c r="M63" s="4">
        <v>7020.72</v>
      </c>
      <c r="N63" s="56">
        <f>M63/1.12</f>
        <v>6268.5</v>
      </c>
      <c r="O63" s="46">
        <f t="shared" si="1"/>
        <v>42124.32</v>
      </c>
      <c r="P63" s="47">
        <f t="shared" si="2"/>
        <v>37611</v>
      </c>
      <c r="Q63" s="47">
        <f t="shared" si="3"/>
        <v>4513.32</v>
      </c>
      <c r="R63" t="s">
        <v>63</v>
      </c>
    </row>
    <row r="64" spans="1:18" x14ac:dyDescent="0.35">
      <c r="A64">
        <v>36</v>
      </c>
      <c r="D64">
        <v>233</v>
      </c>
      <c r="E64" s="1">
        <v>5248</v>
      </c>
      <c r="F64" s="7">
        <v>30</v>
      </c>
      <c r="G64" s="7">
        <v>5455</v>
      </c>
      <c r="H64" s="44">
        <v>250121</v>
      </c>
      <c r="I64" s="1" t="s">
        <v>81</v>
      </c>
      <c r="J64" t="s">
        <v>14</v>
      </c>
      <c r="K64" s="45">
        <v>4</v>
      </c>
      <c r="L64" t="s">
        <v>74</v>
      </c>
      <c r="M64" s="4">
        <v>6667.92</v>
      </c>
      <c r="N64" s="56">
        <f>M64/1.12</f>
        <v>5953.4999999999991</v>
      </c>
      <c r="O64" s="46">
        <f t="shared" si="1"/>
        <v>26671.68</v>
      </c>
      <c r="P64" s="47">
        <f t="shared" si="2"/>
        <v>23813.999999999996</v>
      </c>
      <c r="Q64" s="47">
        <f t="shared" si="3"/>
        <v>2857.6800000000039</v>
      </c>
      <c r="R64" t="s">
        <v>63</v>
      </c>
    </row>
    <row r="65" spans="1:18" x14ac:dyDescent="0.35">
      <c r="A65">
        <v>37</v>
      </c>
      <c r="D65">
        <v>233</v>
      </c>
      <c r="E65" s="1">
        <v>5248</v>
      </c>
      <c r="F65" s="7">
        <v>30</v>
      </c>
      <c r="G65" s="7">
        <v>5455</v>
      </c>
      <c r="H65" s="44">
        <v>250121</v>
      </c>
      <c r="I65" s="1" t="s">
        <v>81</v>
      </c>
      <c r="J65" t="s">
        <v>57</v>
      </c>
      <c r="K65" s="45">
        <v>3</v>
      </c>
      <c r="L65" t="s">
        <v>74</v>
      </c>
      <c r="M65" s="4">
        <v>6000</v>
      </c>
      <c r="N65" s="56">
        <f>M65/1.12</f>
        <v>5357.1428571428569</v>
      </c>
      <c r="O65" s="46">
        <f t="shared" si="1"/>
        <v>18000</v>
      </c>
      <c r="P65" s="47">
        <f t="shared" si="2"/>
        <v>16071.428571428571</v>
      </c>
      <c r="Q65" s="47">
        <f t="shared" si="3"/>
        <v>1928.5714285714294</v>
      </c>
      <c r="R65" t="s">
        <v>64</v>
      </c>
    </row>
    <row r="66" spans="1:18" x14ac:dyDescent="0.35">
      <c r="A66">
        <v>38</v>
      </c>
      <c r="D66">
        <v>233</v>
      </c>
      <c r="E66" s="1">
        <v>5248</v>
      </c>
      <c r="F66" s="7">
        <v>30</v>
      </c>
      <c r="G66" s="7">
        <v>5455</v>
      </c>
      <c r="H66" s="44">
        <v>250121</v>
      </c>
      <c r="I66" s="1" t="s">
        <v>81</v>
      </c>
      <c r="J66" t="s">
        <v>25</v>
      </c>
      <c r="K66" s="45">
        <v>4</v>
      </c>
      <c r="L66" t="s">
        <v>74</v>
      </c>
      <c r="M66" s="4">
        <v>3360</v>
      </c>
      <c r="N66" s="56">
        <f>M66/1.12</f>
        <v>2999.9999999999995</v>
      </c>
      <c r="O66" s="46">
        <f t="shared" si="1"/>
        <v>13440</v>
      </c>
      <c r="P66" s="47">
        <f t="shared" si="2"/>
        <v>11999.999999999998</v>
      </c>
      <c r="Q66" s="47">
        <f t="shared" si="3"/>
        <v>1440.0000000000018</v>
      </c>
      <c r="R66" t="s">
        <v>82</v>
      </c>
    </row>
    <row r="67" spans="1:18" x14ac:dyDescent="0.35">
      <c r="A67">
        <v>39</v>
      </c>
      <c r="D67">
        <v>233</v>
      </c>
      <c r="E67" s="1">
        <v>5248</v>
      </c>
      <c r="F67" s="7">
        <v>30</v>
      </c>
      <c r="G67" s="7">
        <v>5455</v>
      </c>
      <c r="H67" s="44">
        <v>250121</v>
      </c>
      <c r="I67" s="1" t="s">
        <v>81</v>
      </c>
      <c r="J67" t="s">
        <v>83</v>
      </c>
      <c r="K67" s="45">
        <v>2</v>
      </c>
      <c r="L67" t="s">
        <v>74</v>
      </c>
      <c r="M67" s="4">
        <v>5600</v>
      </c>
      <c r="N67" s="56">
        <f>M67/1.12</f>
        <v>4999.9999999999991</v>
      </c>
      <c r="O67" s="46">
        <f t="shared" si="1"/>
        <v>11200</v>
      </c>
      <c r="P67" s="47">
        <f t="shared" si="2"/>
        <v>9999.9999999999982</v>
      </c>
      <c r="Q67" s="47">
        <f t="shared" si="3"/>
        <v>1200.0000000000018</v>
      </c>
      <c r="R67" t="s">
        <v>82</v>
      </c>
    </row>
    <row r="68" spans="1:18" x14ac:dyDescent="0.35">
      <c r="A68">
        <v>40</v>
      </c>
      <c r="D68">
        <v>1116</v>
      </c>
      <c r="E68" s="1">
        <v>5249</v>
      </c>
      <c r="F68" s="7">
        <v>60</v>
      </c>
      <c r="G68" s="7">
        <v>5456</v>
      </c>
      <c r="H68" s="44">
        <v>250124</v>
      </c>
      <c r="I68" s="1" t="s">
        <v>61</v>
      </c>
      <c r="J68" t="s">
        <v>10</v>
      </c>
      <c r="K68" s="45">
        <v>900</v>
      </c>
      <c r="L68" t="s">
        <v>59</v>
      </c>
      <c r="M68" s="4">
        <v>710</v>
      </c>
      <c r="N68" s="56">
        <f>M68/1.12</f>
        <v>633.92857142857133</v>
      </c>
      <c r="O68" s="46">
        <f t="shared" si="1"/>
        <v>639000</v>
      </c>
      <c r="P68" s="47">
        <f t="shared" si="2"/>
        <v>570535.7142857142</v>
      </c>
      <c r="Q68" s="47">
        <f t="shared" si="3"/>
        <v>68464.285714285797</v>
      </c>
      <c r="R68" s="59"/>
    </row>
    <row r="69" spans="1:18" x14ac:dyDescent="0.35">
      <c r="A69">
        <v>41</v>
      </c>
      <c r="D69">
        <v>193</v>
      </c>
      <c r="E69" s="1">
        <v>5233</v>
      </c>
      <c r="F69" s="7">
        <v>30</v>
      </c>
      <c r="G69" s="7">
        <v>5457</v>
      </c>
      <c r="H69" s="44">
        <v>250124</v>
      </c>
      <c r="I69" s="1" t="s">
        <v>84</v>
      </c>
      <c r="J69" t="s">
        <v>68</v>
      </c>
      <c r="K69" s="45">
        <v>1</v>
      </c>
      <c r="L69" t="s">
        <v>69</v>
      </c>
      <c r="M69" s="4">
        <v>323680</v>
      </c>
      <c r="N69" s="56">
        <f>M69/1.12</f>
        <v>289000</v>
      </c>
      <c r="O69" s="46">
        <f t="shared" si="1"/>
        <v>323680</v>
      </c>
      <c r="P69" s="47">
        <f t="shared" si="2"/>
        <v>289000</v>
      </c>
      <c r="Q69" s="47">
        <f t="shared" si="3"/>
        <v>34680</v>
      </c>
    </row>
    <row r="70" spans="1:18" x14ac:dyDescent="0.35">
      <c r="A70">
        <v>42</v>
      </c>
      <c r="D70">
        <v>193</v>
      </c>
      <c r="E70" s="1">
        <v>5233</v>
      </c>
      <c r="F70" s="7">
        <v>30</v>
      </c>
      <c r="G70" s="7">
        <v>5457</v>
      </c>
      <c r="H70" s="44">
        <v>250124</v>
      </c>
      <c r="I70" s="1" t="s">
        <v>84</v>
      </c>
      <c r="J70" t="s">
        <v>13</v>
      </c>
      <c r="K70" s="45">
        <f>8</f>
        <v>8</v>
      </c>
      <c r="L70" t="s">
        <v>74</v>
      </c>
      <c r="M70" s="60">
        <f>234.02*30</f>
        <v>7020.6</v>
      </c>
      <c r="N70" s="56">
        <f>M70/1.12</f>
        <v>6268.3928571428569</v>
      </c>
      <c r="O70" s="46"/>
      <c r="P70" s="47">
        <f>N70*K70</f>
        <v>50147.142857142855</v>
      </c>
      <c r="Q70" s="47"/>
      <c r="R70" t="s">
        <v>63</v>
      </c>
    </row>
    <row r="71" spans="1:18" x14ac:dyDescent="0.35">
      <c r="A71">
        <v>43</v>
      </c>
      <c r="D71">
        <v>193</v>
      </c>
      <c r="E71" s="1">
        <v>5233</v>
      </c>
      <c r="F71" s="7">
        <v>30</v>
      </c>
      <c r="G71" s="7">
        <v>5457</v>
      </c>
      <c r="H71" s="44">
        <v>250124</v>
      </c>
      <c r="I71" s="1" t="s">
        <v>84</v>
      </c>
      <c r="J71" t="s">
        <v>14</v>
      </c>
      <c r="K71" s="45">
        <f>8</f>
        <v>8</v>
      </c>
      <c r="L71" t="s">
        <v>74</v>
      </c>
      <c r="M71" s="60">
        <f>222.26*30</f>
        <v>6667.7999999999993</v>
      </c>
      <c r="N71" s="56">
        <f>M71/1.12</f>
        <v>5953.392857142856</v>
      </c>
      <c r="O71" s="46"/>
      <c r="P71" s="47">
        <f t="shared" ref="P71:P75" si="4">N71*K71</f>
        <v>47627.142857142848</v>
      </c>
      <c r="Q71" s="47"/>
      <c r="R71" t="s">
        <v>63</v>
      </c>
    </row>
    <row r="72" spans="1:18" x14ac:dyDescent="0.35">
      <c r="A72">
        <v>44</v>
      </c>
      <c r="D72">
        <v>193</v>
      </c>
      <c r="E72" s="1">
        <v>5233</v>
      </c>
      <c r="F72" s="7">
        <v>30</v>
      </c>
      <c r="G72" s="7">
        <v>5457</v>
      </c>
      <c r="H72" s="44">
        <v>250124</v>
      </c>
      <c r="I72" s="1" t="s">
        <v>84</v>
      </c>
      <c r="J72" t="s">
        <v>57</v>
      </c>
      <c r="K72" s="45">
        <f>14</f>
        <v>14</v>
      </c>
      <c r="L72" t="s">
        <v>74</v>
      </c>
      <c r="M72" s="57">
        <f>240*25</f>
        <v>6000</v>
      </c>
      <c r="N72" s="56">
        <f>M72/1.12</f>
        <v>5357.1428571428569</v>
      </c>
      <c r="O72" s="46"/>
      <c r="P72" s="47">
        <f t="shared" si="4"/>
        <v>75000</v>
      </c>
      <c r="Q72" s="47"/>
      <c r="R72" t="s">
        <v>64</v>
      </c>
    </row>
    <row r="73" spans="1:18" x14ac:dyDescent="0.35">
      <c r="A73">
        <v>45</v>
      </c>
      <c r="D73" t="s">
        <v>85</v>
      </c>
      <c r="E73" s="1">
        <v>5234</v>
      </c>
      <c r="F73" s="7">
        <v>30</v>
      </c>
      <c r="G73" s="7">
        <v>5458</v>
      </c>
      <c r="H73" s="44">
        <v>250124</v>
      </c>
      <c r="I73" s="1" t="s">
        <v>86</v>
      </c>
      <c r="J73" t="s">
        <v>87</v>
      </c>
      <c r="K73" s="45">
        <v>1</v>
      </c>
      <c r="L73" t="s">
        <v>69</v>
      </c>
      <c r="M73" s="4">
        <v>30000</v>
      </c>
      <c r="N73" s="56">
        <f>M73/1.12</f>
        <v>26785.714285714283</v>
      </c>
      <c r="O73" s="46">
        <f t="shared" si="1"/>
        <v>30000</v>
      </c>
      <c r="P73" s="47">
        <f t="shared" si="2"/>
        <v>26785.714285714283</v>
      </c>
      <c r="Q73" s="47">
        <f t="shared" si="3"/>
        <v>3214.2857142857174</v>
      </c>
    </row>
    <row r="74" spans="1:18" x14ac:dyDescent="0.35">
      <c r="A74">
        <v>46</v>
      </c>
      <c r="D74" t="s">
        <v>85</v>
      </c>
      <c r="E74" s="1">
        <v>5234</v>
      </c>
      <c r="F74" s="7">
        <v>30</v>
      </c>
      <c r="G74" s="7">
        <v>5458</v>
      </c>
      <c r="H74" s="44">
        <v>250124</v>
      </c>
      <c r="I74" s="1" t="s">
        <v>86</v>
      </c>
      <c r="J74" t="s">
        <v>13</v>
      </c>
      <c r="K74" s="45">
        <v>1</v>
      </c>
      <c r="L74" t="s">
        <v>74</v>
      </c>
      <c r="M74" s="60">
        <f>234.02*30</f>
        <v>7020.6</v>
      </c>
      <c r="N74" s="56">
        <f>M74/1.12</f>
        <v>6268.3928571428569</v>
      </c>
      <c r="O74" s="46"/>
      <c r="P74" s="47">
        <f t="shared" si="4"/>
        <v>6268.3928571428569</v>
      </c>
      <c r="Q74" s="47"/>
      <c r="R74" t="s">
        <v>63</v>
      </c>
    </row>
    <row r="75" spans="1:18" x14ac:dyDescent="0.35">
      <c r="A75">
        <v>47</v>
      </c>
      <c r="D75" t="s">
        <v>85</v>
      </c>
      <c r="E75" s="1">
        <v>5234</v>
      </c>
      <c r="F75" s="7">
        <v>30</v>
      </c>
      <c r="G75" s="7">
        <v>5458</v>
      </c>
      <c r="H75" s="44">
        <v>250124</v>
      </c>
      <c r="I75" s="1" t="s">
        <v>86</v>
      </c>
      <c r="J75" t="s">
        <v>14</v>
      </c>
      <c r="K75" s="45">
        <v>1</v>
      </c>
      <c r="L75" t="s">
        <v>74</v>
      </c>
      <c r="M75" s="60">
        <f>222.26*30</f>
        <v>6667.7999999999993</v>
      </c>
      <c r="N75" s="56">
        <f>M75/1.12</f>
        <v>5953.392857142856</v>
      </c>
      <c r="O75" s="46"/>
      <c r="P75" s="47">
        <f t="shared" si="4"/>
        <v>5953.392857142856</v>
      </c>
      <c r="Q75" s="47"/>
      <c r="R75" t="s">
        <v>63</v>
      </c>
    </row>
    <row r="76" spans="1:18" x14ac:dyDescent="0.35">
      <c r="A76">
        <v>48</v>
      </c>
      <c r="D76">
        <v>3983</v>
      </c>
      <c r="E76" s="1">
        <v>5250</v>
      </c>
      <c r="F76" s="7">
        <v>30</v>
      </c>
      <c r="G76" s="7">
        <v>5459</v>
      </c>
      <c r="H76" s="44">
        <v>250130</v>
      </c>
      <c r="I76" s="1" t="s">
        <v>58</v>
      </c>
      <c r="J76" t="s">
        <v>10</v>
      </c>
      <c r="K76" s="45">
        <v>1070</v>
      </c>
      <c r="L76" t="s">
        <v>59</v>
      </c>
      <c r="M76" s="4">
        <v>710</v>
      </c>
      <c r="N76" s="56">
        <f>M76/1.12</f>
        <v>633.92857142857133</v>
      </c>
      <c r="O76" s="46">
        <f t="shared" si="1"/>
        <v>759700</v>
      </c>
      <c r="P76" s="47">
        <f t="shared" si="2"/>
        <v>678303.57142857136</v>
      </c>
      <c r="Q76" s="47">
        <f t="shared" si="3"/>
        <v>81396.428571428638</v>
      </c>
    </row>
    <row r="77" spans="1:18" x14ac:dyDescent="0.35">
      <c r="A77">
        <v>49</v>
      </c>
      <c r="D77">
        <v>5000525966</v>
      </c>
      <c r="E77" s="1">
        <v>5251</v>
      </c>
      <c r="F77" s="7">
        <v>60</v>
      </c>
      <c r="G77" s="7">
        <v>5460</v>
      </c>
      <c r="H77" s="44">
        <v>250131</v>
      </c>
      <c r="I77" s="1" t="s">
        <v>62</v>
      </c>
      <c r="J77" t="s">
        <v>13</v>
      </c>
      <c r="K77" s="45">
        <v>120</v>
      </c>
      <c r="L77" t="s">
        <v>56</v>
      </c>
      <c r="M77" s="4">
        <v>358.4</v>
      </c>
      <c r="N77" s="56">
        <f>M77/1.12</f>
        <v>319.99999999999994</v>
      </c>
      <c r="O77" s="46">
        <f t="shared" si="1"/>
        <v>43008</v>
      </c>
      <c r="P77" s="47">
        <f t="shared" si="2"/>
        <v>38399.999999999993</v>
      </c>
      <c r="Q77" s="47">
        <f t="shared" si="3"/>
        <v>4608.0000000000073</v>
      </c>
    </row>
    <row r="78" spans="1:18" x14ac:dyDescent="0.35">
      <c r="A78">
        <v>50</v>
      </c>
      <c r="D78">
        <v>5000525966</v>
      </c>
      <c r="E78" s="1">
        <v>5252</v>
      </c>
      <c r="F78" s="7">
        <v>60</v>
      </c>
      <c r="G78" s="7">
        <v>5460</v>
      </c>
      <c r="H78" s="44">
        <v>250131</v>
      </c>
      <c r="I78" s="1" t="s">
        <v>62</v>
      </c>
      <c r="J78" t="s">
        <v>14</v>
      </c>
      <c r="K78" s="45">
        <v>180</v>
      </c>
      <c r="L78" t="s">
        <v>56</v>
      </c>
      <c r="M78" s="4">
        <v>353.92</v>
      </c>
      <c r="N78" s="56">
        <f>M78/1.12</f>
        <v>316</v>
      </c>
      <c r="O78" s="46">
        <f t="shared" si="1"/>
        <v>63705.600000000006</v>
      </c>
      <c r="P78" s="47">
        <f t="shared" si="2"/>
        <v>56880</v>
      </c>
      <c r="Q78" s="47">
        <f t="shared" si="3"/>
        <v>6825.6000000000058</v>
      </c>
    </row>
    <row r="79" spans="1:18" x14ac:dyDescent="0.35">
      <c r="A79">
        <v>51</v>
      </c>
      <c r="D79">
        <v>5000525966</v>
      </c>
      <c r="E79" s="1">
        <v>5253</v>
      </c>
      <c r="F79" s="7">
        <v>60</v>
      </c>
      <c r="G79" s="7">
        <v>5460</v>
      </c>
      <c r="H79" s="44">
        <v>250131</v>
      </c>
      <c r="I79" s="1" t="s">
        <v>62</v>
      </c>
      <c r="J79" t="s">
        <v>8</v>
      </c>
      <c r="K79" s="45">
        <v>325</v>
      </c>
      <c r="L79" t="s">
        <v>56</v>
      </c>
      <c r="M79" s="4">
        <v>364</v>
      </c>
      <c r="N79" s="56">
        <f>M79/1.12</f>
        <v>324.99999999999994</v>
      </c>
      <c r="O79" s="46">
        <f t="shared" si="1"/>
        <v>118300</v>
      </c>
      <c r="P79" s="47">
        <f t="shared" si="2"/>
        <v>105624.99999999999</v>
      </c>
      <c r="Q79" s="47">
        <f t="shared" si="3"/>
        <v>12675.000000000015</v>
      </c>
    </row>
    <row r="80" spans="1:18" x14ac:dyDescent="0.35">
      <c r="A80">
        <v>52</v>
      </c>
      <c r="D80">
        <v>5000525966</v>
      </c>
      <c r="E80" s="1">
        <v>5254</v>
      </c>
      <c r="F80" s="7">
        <v>60</v>
      </c>
      <c r="G80" s="7">
        <v>5460</v>
      </c>
      <c r="H80" s="44">
        <v>250131</v>
      </c>
      <c r="I80" s="1" t="s">
        <v>62</v>
      </c>
      <c r="J80" t="s">
        <v>65</v>
      </c>
      <c r="K80" s="45">
        <v>300</v>
      </c>
      <c r="L80" t="s">
        <v>56</v>
      </c>
      <c r="M80" s="4">
        <v>20.38</v>
      </c>
      <c r="N80" s="56">
        <f>M80/1.12</f>
        <v>18.196428571428569</v>
      </c>
      <c r="O80" s="46">
        <f t="shared" si="1"/>
        <v>6114</v>
      </c>
      <c r="P80" s="47">
        <f t="shared" si="2"/>
        <v>5458.9285714285706</v>
      </c>
      <c r="Q80" s="47">
        <f t="shared" si="3"/>
        <v>655.07142857142935</v>
      </c>
    </row>
    <row r="81" spans="1:17" x14ac:dyDescent="0.35">
      <c r="A81">
        <v>53</v>
      </c>
      <c r="D81">
        <v>149</v>
      </c>
      <c r="E81" s="1">
        <v>5255</v>
      </c>
      <c r="F81" s="7">
        <v>30</v>
      </c>
      <c r="G81" s="7">
        <v>5461</v>
      </c>
      <c r="H81" s="44">
        <v>250130</v>
      </c>
      <c r="I81" s="1" t="s">
        <v>88</v>
      </c>
      <c r="J81" t="s">
        <v>14</v>
      </c>
      <c r="K81" s="45">
        <v>120</v>
      </c>
      <c r="L81" t="s">
        <v>56</v>
      </c>
      <c r="M81" s="4">
        <v>290.3</v>
      </c>
      <c r="N81" s="56">
        <f>M81/1.12</f>
        <v>259.19642857142856</v>
      </c>
      <c r="O81" s="46">
        <f t="shared" si="1"/>
        <v>34836</v>
      </c>
      <c r="P81" s="47">
        <f t="shared" si="2"/>
        <v>31103.571428571428</v>
      </c>
      <c r="Q81" s="47">
        <f t="shared" si="3"/>
        <v>3732.4285714285725</v>
      </c>
    </row>
    <row r="82" spans="1:17" x14ac:dyDescent="0.35">
      <c r="A82">
        <v>54</v>
      </c>
      <c r="F82" s="7"/>
      <c r="G82" s="34" t="s">
        <v>89</v>
      </c>
      <c r="H82" s="44">
        <v>250203</v>
      </c>
      <c r="I82" s="61" t="s">
        <v>90</v>
      </c>
      <c r="J82" t="s">
        <v>55</v>
      </c>
      <c r="K82" s="45">
        <v>1</v>
      </c>
      <c r="L82" s="45" t="s">
        <v>69</v>
      </c>
      <c r="M82" s="4"/>
      <c r="N82" s="4">
        <v>244070.52</v>
      </c>
      <c r="P82" s="46">
        <f>K82*N82</f>
        <v>244070.52</v>
      </c>
      <c r="Q82" s="47" t="e">
        <f>P82-#REF!</f>
        <v>#REF!</v>
      </c>
    </row>
    <row r="83" spans="1:17" x14ac:dyDescent="0.35">
      <c r="A83">
        <v>55</v>
      </c>
      <c r="F83" s="7"/>
      <c r="G83" s="23" t="s">
        <v>89</v>
      </c>
      <c r="H83" s="44">
        <v>250203</v>
      </c>
      <c r="I83" s="1" t="s">
        <v>90</v>
      </c>
      <c r="J83" t="s">
        <v>13</v>
      </c>
      <c r="K83" s="19">
        <f>6*30</f>
        <v>180</v>
      </c>
      <c r="L83" s="45" t="s">
        <v>56</v>
      </c>
      <c r="M83" s="60">
        <v>234.02</v>
      </c>
      <c r="N83" s="51">
        <f>M83/1.12</f>
        <v>208.94642857142856</v>
      </c>
      <c r="O83" s="46"/>
      <c r="P83" s="47">
        <f>N83*K83</f>
        <v>37610.357142857138</v>
      </c>
      <c r="Q83" s="47"/>
    </row>
    <row r="84" spans="1:17" x14ac:dyDescent="0.35">
      <c r="A84">
        <v>56</v>
      </c>
      <c r="F84" s="7"/>
      <c r="G84" s="23" t="s">
        <v>89</v>
      </c>
      <c r="H84" s="44">
        <v>250203</v>
      </c>
      <c r="I84" s="1" t="s">
        <v>90</v>
      </c>
      <c r="J84" t="s">
        <v>14</v>
      </c>
      <c r="K84" s="19">
        <f>6*30</f>
        <v>180</v>
      </c>
      <c r="L84" s="45" t="s">
        <v>56</v>
      </c>
      <c r="M84" s="60">
        <v>222.26</v>
      </c>
      <c r="N84" s="51">
        <f>M84/1.12</f>
        <v>198.44642857142856</v>
      </c>
      <c r="O84" s="46"/>
      <c r="P84" s="47">
        <f t="shared" ref="P84:P85" si="5">N84*K84</f>
        <v>35720.357142857138</v>
      </c>
      <c r="Q84" s="47"/>
    </row>
    <row r="85" spans="1:17" x14ac:dyDescent="0.35">
      <c r="A85">
        <v>57</v>
      </c>
      <c r="F85" s="7"/>
      <c r="G85" s="23" t="s">
        <v>89</v>
      </c>
      <c r="H85" s="44">
        <v>250203</v>
      </c>
      <c r="I85" s="1" t="s">
        <v>90</v>
      </c>
      <c r="J85" t="s">
        <v>57</v>
      </c>
      <c r="K85" s="19">
        <f>6*25</f>
        <v>150</v>
      </c>
      <c r="L85" s="45" t="s">
        <v>56</v>
      </c>
      <c r="M85" s="57">
        <v>240</v>
      </c>
      <c r="N85" s="51">
        <f>M85/1.12</f>
        <v>214.28571428571428</v>
      </c>
      <c r="O85" s="46"/>
      <c r="P85" s="47">
        <f t="shared" si="5"/>
        <v>32142.857142857141</v>
      </c>
      <c r="Q85" s="47"/>
    </row>
    <row r="86" spans="1:17" s="79" customFormat="1" x14ac:dyDescent="0.35">
      <c r="A86" s="79">
        <v>58</v>
      </c>
      <c r="D86" s="79">
        <v>193</v>
      </c>
      <c r="E86" s="80">
        <v>5256</v>
      </c>
      <c r="F86" s="81">
        <v>30</v>
      </c>
      <c r="G86" s="81">
        <v>5462</v>
      </c>
      <c r="H86" s="82">
        <v>250203</v>
      </c>
      <c r="I86" s="80" t="s">
        <v>91</v>
      </c>
      <c r="J86" s="79" t="s">
        <v>68</v>
      </c>
      <c r="K86" s="54">
        <v>1</v>
      </c>
      <c r="L86" s="79" t="s">
        <v>69</v>
      </c>
      <c r="M86" s="4">
        <v>323680</v>
      </c>
      <c r="N86" s="4">
        <f>M86/1.12</f>
        <v>289000</v>
      </c>
      <c r="O86" s="4">
        <v>323680</v>
      </c>
      <c r="P86" s="4">
        <v>289000</v>
      </c>
      <c r="Q86" s="83">
        <f t="shared" si="3"/>
        <v>34680</v>
      </c>
    </row>
    <row r="87" spans="1:17" s="79" customFormat="1" x14ac:dyDescent="0.35">
      <c r="A87" s="79">
        <v>59</v>
      </c>
      <c r="D87" s="79">
        <v>193</v>
      </c>
      <c r="E87" s="80">
        <v>5256</v>
      </c>
      <c r="F87" s="81">
        <v>30</v>
      </c>
      <c r="G87" s="81">
        <v>5462</v>
      </c>
      <c r="H87" s="82">
        <v>250203</v>
      </c>
      <c r="I87" s="80" t="s">
        <v>91</v>
      </c>
      <c r="J87" s="79" t="s">
        <v>13</v>
      </c>
      <c r="K87" s="45">
        <v>8</v>
      </c>
      <c r="L87" s="79" t="s">
        <v>74</v>
      </c>
      <c r="M87" s="60">
        <f>234.02*30</f>
        <v>7020.6</v>
      </c>
      <c r="N87" s="56">
        <f>M87/1.12</f>
        <v>6268.3928571428569</v>
      </c>
      <c r="O87" s="84">
        <f t="shared" ref="O87:O93" si="6">K87*M87</f>
        <v>56164.800000000003</v>
      </c>
      <c r="P87" s="83">
        <f t="shared" ref="P87:P90" si="7">K87*N87</f>
        <v>50147.142857142855</v>
      </c>
      <c r="Q87" s="83">
        <f t="shared" si="3"/>
        <v>6017.6571428571478</v>
      </c>
    </row>
    <row r="88" spans="1:17" s="79" customFormat="1" x14ac:dyDescent="0.35">
      <c r="A88" s="79">
        <v>60</v>
      </c>
      <c r="D88" s="79">
        <v>193</v>
      </c>
      <c r="E88" s="80">
        <v>5256</v>
      </c>
      <c r="F88" s="81">
        <v>30</v>
      </c>
      <c r="G88" s="81">
        <v>5462</v>
      </c>
      <c r="H88" s="82">
        <v>250203</v>
      </c>
      <c r="I88" s="80" t="s">
        <v>91</v>
      </c>
      <c r="J88" s="79" t="s">
        <v>14</v>
      </c>
      <c r="K88" s="45">
        <v>8</v>
      </c>
      <c r="L88" s="79" t="s">
        <v>74</v>
      </c>
      <c r="M88" s="60">
        <f>222.26*30</f>
        <v>6667.7999999999993</v>
      </c>
      <c r="N88" s="56">
        <f>M88/1.12</f>
        <v>5953.392857142856</v>
      </c>
      <c r="O88" s="84">
        <f t="shared" si="6"/>
        <v>53342.399999999994</v>
      </c>
      <c r="P88" s="83">
        <f t="shared" si="7"/>
        <v>47627.142857142848</v>
      </c>
      <c r="Q88" s="83">
        <f t="shared" si="3"/>
        <v>5715.2571428571464</v>
      </c>
    </row>
    <row r="89" spans="1:17" s="79" customFormat="1" x14ac:dyDescent="0.35">
      <c r="A89" s="79">
        <v>61</v>
      </c>
      <c r="D89" s="79">
        <v>193</v>
      </c>
      <c r="E89" s="80">
        <v>5256</v>
      </c>
      <c r="F89" s="81">
        <v>30</v>
      </c>
      <c r="G89" s="81">
        <v>5462</v>
      </c>
      <c r="H89" s="82">
        <v>250203</v>
      </c>
      <c r="I89" s="80" t="s">
        <v>91</v>
      </c>
      <c r="J89" s="79" t="s">
        <v>57</v>
      </c>
      <c r="K89" s="45">
        <v>18</v>
      </c>
      <c r="L89" s="79" t="s">
        <v>74</v>
      </c>
      <c r="M89" s="57">
        <f>240*25</f>
        <v>6000</v>
      </c>
      <c r="N89" s="56">
        <f>M89/1.12</f>
        <v>5357.1428571428569</v>
      </c>
      <c r="O89" s="84">
        <f t="shared" si="6"/>
        <v>108000</v>
      </c>
      <c r="P89" s="83">
        <f t="shared" si="7"/>
        <v>96428.57142857142</v>
      </c>
      <c r="Q89" s="83">
        <f t="shared" si="3"/>
        <v>11571.42857142858</v>
      </c>
    </row>
    <row r="90" spans="1:17" x14ac:dyDescent="0.35">
      <c r="A90">
        <v>62</v>
      </c>
      <c r="D90" s="58" t="s">
        <v>92</v>
      </c>
      <c r="E90" s="1">
        <v>5257</v>
      </c>
      <c r="F90" s="7">
        <v>30</v>
      </c>
      <c r="G90" s="7">
        <v>5463</v>
      </c>
      <c r="H90" s="44">
        <v>250203</v>
      </c>
      <c r="I90" s="1" t="s">
        <v>86</v>
      </c>
      <c r="J90" t="s">
        <v>87</v>
      </c>
      <c r="K90" s="54">
        <v>1</v>
      </c>
      <c r="L90" t="s">
        <v>69</v>
      </c>
      <c r="M90" s="60">
        <v>30000</v>
      </c>
      <c r="N90" s="4">
        <f>M90/1.12</f>
        <v>26785.714285714283</v>
      </c>
      <c r="O90" s="4">
        <f>M90*K90</f>
        <v>30000</v>
      </c>
      <c r="P90" s="47">
        <f t="shared" si="7"/>
        <v>26785.714285714283</v>
      </c>
      <c r="Q90" s="47">
        <f t="shared" si="3"/>
        <v>3214.2857142857174</v>
      </c>
    </row>
    <row r="91" spans="1:17" x14ac:dyDescent="0.35">
      <c r="A91">
        <v>63</v>
      </c>
      <c r="D91" s="58" t="s">
        <v>92</v>
      </c>
      <c r="E91" s="1">
        <v>5257</v>
      </c>
      <c r="F91" s="7">
        <v>30</v>
      </c>
      <c r="G91" s="7">
        <v>5463</v>
      </c>
      <c r="H91" s="44">
        <v>250203</v>
      </c>
      <c r="I91" s="1" t="s">
        <v>86</v>
      </c>
      <c r="J91" t="s">
        <v>13</v>
      </c>
      <c r="K91" s="54">
        <v>2</v>
      </c>
      <c r="L91" t="s">
        <v>74</v>
      </c>
      <c r="M91" s="60">
        <f>234.02*30</f>
        <v>7020.6</v>
      </c>
      <c r="N91" s="56">
        <f>M91/1.12</f>
        <v>6268.3928571428569</v>
      </c>
      <c r="O91" s="46">
        <f t="shared" si="6"/>
        <v>14041.2</v>
      </c>
      <c r="P91" s="4">
        <f>K91*N91</f>
        <v>12536.785714285714</v>
      </c>
      <c r="Q91" s="47">
        <f t="shared" si="3"/>
        <v>1504.414285714287</v>
      </c>
    </row>
    <row r="92" spans="1:17" x14ac:dyDescent="0.35">
      <c r="A92">
        <v>64</v>
      </c>
      <c r="D92" s="58" t="s">
        <v>92</v>
      </c>
      <c r="E92" s="1">
        <v>5257</v>
      </c>
      <c r="F92" s="7">
        <v>30</v>
      </c>
      <c r="G92" s="7">
        <v>5463</v>
      </c>
      <c r="H92" s="44">
        <v>250203</v>
      </c>
      <c r="I92" s="1" t="s">
        <v>86</v>
      </c>
      <c r="J92" t="s">
        <v>14</v>
      </c>
      <c r="K92" s="54">
        <v>2</v>
      </c>
      <c r="L92" t="s">
        <v>74</v>
      </c>
      <c r="M92" s="60">
        <f>222.26*30</f>
        <v>6667.7999999999993</v>
      </c>
      <c r="N92" s="56">
        <f>M92/1.12</f>
        <v>5953.392857142856</v>
      </c>
      <c r="O92" s="46">
        <f t="shared" si="6"/>
        <v>13335.599999999999</v>
      </c>
      <c r="P92" s="4">
        <f t="shared" ref="P92:P154" si="8">K92*N92</f>
        <v>11906.785714285712</v>
      </c>
      <c r="Q92" s="47">
        <f t="shared" si="3"/>
        <v>1428.8142857142866</v>
      </c>
    </row>
    <row r="93" spans="1:17" x14ac:dyDescent="0.35">
      <c r="A93">
        <v>65</v>
      </c>
      <c r="D93" s="58" t="s">
        <v>92</v>
      </c>
      <c r="E93" s="1">
        <v>5257</v>
      </c>
      <c r="F93" s="7">
        <v>30</v>
      </c>
      <c r="G93" s="7">
        <v>5463</v>
      </c>
      <c r="H93" s="44">
        <v>250203</v>
      </c>
      <c r="I93" s="1" t="s">
        <v>86</v>
      </c>
      <c r="J93" t="s">
        <v>57</v>
      </c>
      <c r="K93" s="54">
        <v>1</v>
      </c>
      <c r="L93" t="s">
        <v>74</v>
      </c>
      <c r="M93" s="57">
        <f>240*25</f>
        <v>6000</v>
      </c>
      <c r="N93" s="56">
        <f>M93/1.12</f>
        <v>5357.1428571428569</v>
      </c>
      <c r="O93" s="46">
        <f t="shared" si="6"/>
        <v>6000</v>
      </c>
      <c r="P93" s="4">
        <f t="shared" si="8"/>
        <v>5357.1428571428569</v>
      </c>
      <c r="Q93" s="47">
        <f t="shared" si="3"/>
        <v>642.85714285714312</v>
      </c>
    </row>
    <row r="94" spans="1:17" x14ac:dyDescent="0.35">
      <c r="A94">
        <v>66</v>
      </c>
      <c r="D94">
        <v>234</v>
      </c>
      <c r="E94" s="1">
        <v>5258</v>
      </c>
      <c r="F94" s="7">
        <v>30</v>
      </c>
      <c r="G94" s="7">
        <v>5464</v>
      </c>
      <c r="H94" s="44">
        <v>250204</v>
      </c>
      <c r="I94" s="1" t="s">
        <v>81</v>
      </c>
      <c r="J94" t="s">
        <v>26</v>
      </c>
      <c r="K94" s="54">
        <v>4</v>
      </c>
      <c r="L94" t="s">
        <v>74</v>
      </c>
      <c r="M94" s="60">
        <v>10952.48</v>
      </c>
      <c r="N94" s="4">
        <f>M94/1.12</f>
        <v>9778.9999999999982</v>
      </c>
      <c r="O94" s="4">
        <f t="shared" ref="O94:O199" si="9">M94*K94</f>
        <v>43809.919999999998</v>
      </c>
      <c r="P94" s="47">
        <f t="shared" si="8"/>
        <v>39115.999999999993</v>
      </c>
      <c r="Q94" s="47">
        <f t="shared" si="3"/>
        <v>4693.9200000000055</v>
      </c>
    </row>
    <row r="95" spans="1:17" x14ac:dyDescent="0.35">
      <c r="A95">
        <v>67</v>
      </c>
      <c r="D95">
        <v>3983</v>
      </c>
      <c r="E95" s="1">
        <v>5259</v>
      </c>
      <c r="F95" s="7">
        <v>30</v>
      </c>
      <c r="G95" s="7">
        <v>5465</v>
      </c>
      <c r="H95" s="44">
        <v>250205</v>
      </c>
      <c r="I95" s="1" t="s">
        <v>58</v>
      </c>
      <c r="J95" t="s">
        <v>10</v>
      </c>
      <c r="K95" s="54">
        <v>1070</v>
      </c>
      <c r="L95" t="s">
        <v>59</v>
      </c>
      <c r="M95" s="57">
        <v>710</v>
      </c>
      <c r="N95" s="4">
        <f>M95/1.12</f>
        <v>633.92857142857133</v>
      </c>
      <c r="O95" s="4">
        <f t="shared" si="9"/>
        <v>759700</v>
      </c>
      <c r="P95" s="47">
        <f t="shared" si="8"/>
        <v>678303.57142857136</v>
      </c>
      <c r="Q95" s="47">
        <f t="shared" si="3"/>
        <v>81396.428571428638</v>
      </c>
    </row>
    <row r="96" spans="1:17" x14ac:dyDescent="0.35">
      <c r="A96">
        <v>68</v>
      </c>
      <c r="D96">
        <v>4031</v>
      </c>
      <c r="E96" s="1">
        <v>5260</v>
      </c>
      <c r="F96" s="7">
        <v>30</v>
      </c>
      <c r="G96" s="7">
        <v>5466</v>
      </c>
      <c r="H96" s="44">
        <v>250205</v>
      </c>
      <c r="I96" s="1" t="s">
        <v>58</v>
      </c>
      <c r="J96" t="s">
        <v>18</v>
      </c>
      <c r="K96" s="45">
        <v>140</v>
      </c>
      <c r="L96" t="s">
        <v>59</v>
      </c>
      <c r="M96" s="4">
        <v>1765</v>
      </c>
      <c r="N96" s="4">
        <f>M96/1.12</f>
        <v>1575.8928571428569</v>
      </c>
      <c r="O96" s="4">
        <f t="shared" si="9"/>
        <v>247100</v>
      </c>
      <c r="P96" s="47">
        <f t="shared" si="8"/>
        <v>220624.99999999997</v>
      </c>
      <c r="Q96" s="47">
        <f t="shared" si="3"/>
        <v>26475.000000000029</v>
      </c>
    </row>
    <row r="97" spans="1:17" x14ac:dyDescent="0.35">
      <c r="A97">
        <v>69</v>
      </c>
      <c r="D97">
        <v>4031</v>
      </c>
      <c r="E97" s="1">
        <v>5260</v>
      </c>
      <c r="F97" s="7">
        <v>30</v>
      </c>
      <c r="G97" s="7">
        <v>5466</v>
      </c>
      <c r="H97" s="44">
        <v>250205</v>
      </c>
      <c r="I97" s="1" t="s">
        <v>58</v>
      </c>
      <c r="J97" t="s">
        <v>10</v>
      </c>
      <c r="K97" s="45">
        <v>100</v>
      </c>
      <c r="L97" t="s">
        <v>59</v>
      </c>
      <c r="M97" s="4">
        <v>710</v>
      </c>
      <c r="N97" s="4">
        <f>M97/1.12</f>
        <v>633.92857142857133</v>
      </c>
      <c r="O97" s="4">
        <f t="shared" si="9"/>
        <v>71000</v>
      </c>
      <c r="P97" s="47">
        <f t="shared" si="8"/>
        <v>63392.85714285713</v>
      </c>
      <c r="Q97" s="47">
        <f t="shared" si="3"/>
        <v>7607.1428571428696</v>
      </c>
    </row>
    <row r="98" spans="1:17" x14ac:dyDescent="0.35">
      <c r="A98">
        <v>70</v>
      </c>
      <c r="D98">
        <v>1116</v>
      </c>
      <c r="E98" s="1">
        <v>5261</v>
      </c>
      <c r="F98" s="7">
        <v>60</v>
      </c>
      <c r="G98" s="7">
        <v>5467</v>
      </c>
      <c r="H98" s="44">
        <v>250205</v>
      </c>
      <c r="I98" s="1" t="s">
        <v>61</v>
      </c>
      <c r="J98" t="s">
        <v>18</v>
      </c>
      <c r="K98" s="54">
        <v>200</v>
      </c>
      <c r="L98" t="s">
        <v>59</v>
      </c>
      <c r="M98" s="60">
        <v>1700</v>
      </c>
      <c r="N98" s="4">
        <f>M98/1.12</f>
        <v>1517.8571428571427</v>
      </c>
      <c r="O98" s="4">
        <f t="shared" si="9"/>
        <v>340000</v>
      </c>
      <c r="P98" s="47">
        <f t="shared" si="8"/>
        <v>303571.42857142852</v>
      </c>
      <c r="Q98" s="47">
        <f t="shared" ref="Q98:Q203" si="10">O98-P98</f>
        <v>36428.571428571478</v>
      </c>
    </row>
    <row r="99" spans="1:17" x14ac:dyDescent="0.35">
      <c r="A99">
        <v>71</v>
      </c>
      <c r="D99">
        <v>1105</v>
      </c>
      <c r="E99" s="1">
        <v>5262</v>
      </c>
      <c r="F99" s="7">
        <v>60</v>
      </c>
      <c r="G99" s="7">
        <v>5468</v>
      </c>
      <c r="H99" s="44">
        <v>250205</v>
      </c>
      <c r="I99" s="1" t="s">
        <v>61</v>
      </c>
      <c r="J99" t="s">
        <v>18</v>
      </c>
      <c r="K99" s="54">
        <v>20</v>
      </c>
      <c r="L99" t="s">
        <v>59</v>
      </c>
      <c r="M99" s="60">
        <v>1700</v>
      </c>
      <c r="N99" s="4">
        <f>M99/1.12</f>
        <v>1517.8571428571427</v>
      </c>
      <c r="O99" s="4">
        <f t="shared" si="9"/>
        <v>34000</v>
      </c>
      <c r="P99" s="47">
        <f t="shared" si="8"/>
        <v>30357.142857142855</v>
      </c>
      <c r="Q99" s="47">
        <f t="shared" si="10"/>
        <v>3642.8571428571449</v>
      </c>
    </row>
    <row r="100" spans="1:17" x14ac:dyDescent="0.35">
      <c r="A100">
        <v>72</v>
      </c>
      <c r="E100" s="1">
        <v>5263</v>
      </c>
      <c r="F100" s="7">
        <v>60</v>
      </c>
      <c r="G100" s="7">
        <v>5469</v>
      </c>
      <c r="H100" s="44">
        <v>250205</v>
      </c>
      <c r="I100" s="1" t="s">
        <v>61</v>
      </c>
      <c r="J100" t="s">
        <v>18</v>
      </c>
      <c r="K100" s="54">
        <v>80</v>
      </c>
      <c r="L100" t="s">
        <v>59</v>
      </c>
      <c r="M100" s="60">
        <v>1700</v>
      </c>
      <c r="N100" s="4">
        <f>M100/1.12</f>
        <v>1517.8571428571427</v>
      </c>
      <c r="O100" s="4">
        <f t="shared" si="9"/>
        <v>136000</v>
      </c>
      <c r="P100" s="47">
        <f t="shared" si="8"/>
        <v>121428.57142857142</v>
      </c>
      <c r="Q100" s="47">
        <f t="shared" si="10"/>
        <v>14571.42857142858</v>
      </c>
    </row>
    <row r="101" spans="1:17" x14ac:dyDescent="0.35">
      <c r="A101">
        <v>73</v>
      </c>
      <c r="E101" s="1">
        <v>5264</v>
      </c>
      <c r="F101" s="7">
        <v>30</v>
      </c>
      <c r="G101" s="7">
        <v>5470</v>
      </c>
      <c r="H101" s="44">
        <v>250205</v>
      </c>
      <c r="I101" s="1" t="s">
        <v>73</v>
      </c>
      <c r="J101" s="53" t="s">
        <v>26</v>
      </c>
      <c r="K101" s="45">
        <v>6</v>
      </c>
      <c r="L101" t="s">
        <v>74</v>
      </c>
      <c r="M101" s="4">
        <v>15950</v>
      </c>
      <c r="N101" s="4">
        <f>M101/1.12</f>
        <v>14241.071428571428</v>
      </c>
      <c r="O101" s="4">
        <f t="shared" si="9"/>
        <v>95700</v>
      </c>
      <c r="P101" s="47">
        <f>M101</f>
        <v>15950</v>
      </c>
      <c r="Q101" s="47">
        <f>O101-P101</f>
        <v>79750</v>
      </c>
    </row>
    <row r="102" spans="1:17" x14ac:dyDescent="0.35">
      <c r="A102">
        <v>74</v>
      </c>
      <c r="E102" s="1">
        <v>5264</v>
      </c>
      <c r="F102" s="7">
        <v>30</v>
      </c>
      <c r="G102" s="7">
        <v>5470</v>
      </c>
      <c r="H102" s="44">
        <v>250205</v>
      </c>
      <c r="I102" s="1" t="s">
        <v>73</v>
      </c>
      <c r="J102" s="62" t="s">
        <v>28</v>
      </c>
      <c r="K102" s="45">
        <v>1</v>
      </c>
      <c r="L102" t="s">
        <v>74</v>
      </c>
      <c r="M102" s="4">
        <v>8347.5</v>
      </c>
      <c r="N102" s="4">
        <f>M102/1.12</f>
        <v>7453.1249999999991</v>
      </c>
      <c r="O102" s="4">
        <f>M102*K102</f>
        <v>8347.5</v>
      </c>
      <c r="P102" s="47">
        <f>M102</f>
        <v>8347.5</v>
      </c>
      <c r="Q102" s="47">
        <f>O102-P102</f>
        <v>0</v>
      </c>
    </row>
    <row r="103" spans="1:17" x14ac:dyDescent="0.35">
      <c r="A103">
        <v>75</v>
      </c>
      <c r="E103" s="1">
        <v>5265</v>
      </c>
      <c r="F103" s="7"/>
      <c r="G103" s="7">
        <v>5471</v>
      </c>
      <c r="H103" s="44">
        <v>250212</v>
      </c>
      <c r="I103" s="1" t="s">
        <v>93</v>
      </c>
      <c r="J103" t="s">
        <v>13</v>
      </c>
      <c r="K103" s="63">
        <v>60</v>
      </c>
      <c r="L103" t="s">
        <v>94</v>
      </c>
      <c r="M103" s="55">
        <v>300.5</v>
      </c>
      <c r="N103" s="4">
        <f>M103/1.12</f>
        <v>268.30357142857139</v>
      </c>
      <c r="O103" s="4">
        <f t="shared" si="9"/>
        <v>18030</v>
      </c>
      <c r="P103" s="47">
        <f t="shared" si="8"/>
        <v>16098.214285714283</v>
      </c>
      <c r="Q103" s="47">
        <f t="shared" si="10"/>
        <v>1931.7857142857174</v>
      </c>
    </row>
    <row r="104" spans="1:17" x14ac:dyDescent="0.35">
      <c r="A104">
        <v>76</v>
      </c>
      <c r="E104" s="1">
        <v>5265</v>
      </c>
      <c r="F104" s="7"/>
      <c r="G104" s="7">
        <v>5471</v>
      </c>
      <c r="H104" s="44">
        <v>250212</v>
      </c>
      <c r="I104" s="1" t="s">
        <v>93</v>
      </c>
      <c r="J104" t="s">
        <v>14</v>
      </c>
      <c r="K104" s="63">
        <v>60</v>
      </c>
      <c r="L104" t="s">
        <v>94</v>
      </c>
      <c r="M104" s="57">
        <v>288.5</v>
      </c>
      <c r="N104" s="4">
        <f>M104/1.12</f>
        <v>257.58928571428567</v>
      </c>
      <c r="O104" s="4">
        <f t="shared" si="9"/>
        <v>17310</v>
      </c>
      <c r="P104" s="47">
        <f t="shared" si="8"/>
        <v>15455.357142857139</v>
      </c>
      <c r="Q104" s="47">
        <f t="shared" si="10"/>
        <v>1854.6428571428605</v>
      </c>
    </row>
    <row r="105" spans="1:17" x14ac:dyDescent="0.35">
      <c r="A105">
        <v>77</v>
      </c>
      <c r="E105" s="1">
        <v>5265</v>
      </c>
      <c r="F105" s="7"/>
      <c r="G105" s="7">
        <v>5471</v>
      </c>
      <c r="H105" s="44">
        <v>250212</v>
      </c>
      <c r="I105" s="1" t="s">
        <v>93</v>
      </c>
      <c r="J105" t="s">
        <v>57</v>
      </c>
      <c r="K105" s="63">
        <v>25</v>
      </c>
      <c r="L105" t="s">
        <v>94</v>
      </c>
      <c r="M105" s="57">
        <v>304.75</v>
      </c>
      <c r="N105" s="4">
        <f>M105/1.12</f>
        <v>272.09821428571428</v>
      </c>
      <c r="O105" s="4">
        <f t="shared" si="9"/>
        <v>7618.75</v>
      </c>
      <c r="P105" s="47">
        <f t="shared" si="8"/>
        <v>6802.4553571428569</v>
      </c>
      <c r="Q105" s="47">
        <f t="shared" si="10"/>
        <v>816.29464285714312</v>
      </c>
    </row>
    <row r="106" spans="1:17" x14ac:dyDescent="0.35">
      <c r="A106">
        <v>78</v>
      </c>
      <c r="E106" s="1">
        <v>5265</v>
      </c>
      <c r="F106" s="7"/>
      <c r="G106" s="7">
        <v>5471</v>
      </c>
      <c r="H106" s="44">
        <v>250212</v>
      </c>
      <c r="I106" s="1" t="s">
        <v>93</v>
      </c>
      <c r="J106" t="s">
        <v>30</v>
      </c>
      <c r="K106" s="63">
        <v>60</v>
      </c>
      <c r="L106" t="s">
        <v>94</v>
      </c>
      <c r="M106" s="57">
        <v>294</v>
      </c>
      <c r="N106" s="4">
        <f>M106/1.12</f>
        <v>262.5</v>
      </c>
      <c r="O106" s="4">
        <f t="shared" si="9"/>
        <v>17640</v>
      </c>
      <c r="P106" s="47">
        <f t="shared" si="8"/>
        <v>15750</v>
      </c>
      <c r="Q106" s="47">
        <f t="shared" si="10"/>
        <v>1890</v>
      </c>
    </row>
    <row r="107" spans="1:17" x14ac:dyDescent="0.35">
      <c r="A107">
        <v>79</v>
      </c>
      <c r="E107" s="1">
        <v>5265</v>
      </c>
      <c r="F107" s="7"/>
      <c r="G107" s="7">
        <v>5471</v>
      </c>
      <c r="H107" s="44">
        <v>250212</v>
      </c>
      <c r="I107" s="1" t="s">
        <v>93</v>
      </c>
      <c r="J107" t="s">
        <v>25</v>
      </c>
      <c r="K107" s="63">
        <v>25</v>
      </c>
      <c r="L107" t="s">
        <v>94</v>
      </c>
      <c r="M107" s="57">
        <v>168</v>
      </c>
      <c r="N107" s="4">
        <f>M107/1.12</f>
        <v>149.99999999999997</v>
      </c>
      <c r="O107" s="4">
        <f t="shared" si="9"/>
        <v>4200</v>
      </c>
      <c r="P107" s="47">
        <f t="shared" si="8"/>
        <v>3749.9999999999991</v>
      </c>
      <c r="Q107" s="47">
        <f t="shared" si="10"/>
        <v>450.00000000000091</v>
      </c>
    </row>
    <row r="108" spans="1:17" x14ac:dyDescent="0.35">
      <c r="A108">
        <v>80</v>
      </c>
      <c r="E108" s="1">
        <v>5266</v>
      </c>
      <c r="F108" s="7"/>
      <c r="G108" s="7">
        <v>5472</v>
      </c>
      <c r="H108" s="44">
        <v>250218</v>
      </c>
      <c r="I108" s="1" t="s">
        <v>93</v>
      </c>
      <c r="J108" t="s">
        <v>13</v>
      </c>
      <c r="K108" s="63">
        <v>30</v>
      </c>
      <c r="L108" t="s">
        <v>94</v>
      </c>
      <c r="M108" s="57">
        <v>300.5</v>
      </c>
      <c r="N108" s="4">
        <f>M108/1.12</f>
        <v>268.30357142857139</v>
      </c>
      <c r="O108" s="4">
        <f t="shared" si="9"/>
        <v>9015</v>
      </c>
      <c r="P108" s="47">
        <f t="shared" si="8"/>
        <v>8049.1071428571413</v>
      </c>
      <c r="Q108" s="47">
        <f t="shared" si="10"/>
        <v>965.8928571428587</v>
      </c>
    </row>
    <row r="109" spans="1:17" x14ac:dyDescent="0.35">
      <c r="A109">
        <v>81</v>
      </c>
      <c r="E109" s="1">
        <v>5266</v>
      </c>
      <c r="F109" s="7"/>
      <c r="G109" s="7">
        <v>5472</v>
      </c>
      <c r="H109" s="44">
        <v>250218</v>
      </c>
      <c r="I109" s="1" t="s">
        <v>93</v>
      </c>
      <c r="J109" t="s">
        <v>14</v>
      </c>
      <c r="K109" s="63">
        <v>60</v>
      </c>
      <c r="L109" t="s">
        <v>94</v>
      </c>
      <c r="M109" s="57">
        <v>288.5</v>
      </c>
      <c r="N109" s="4">
        <f>M109/1.12</f>
        <v>257.58928571428567</v>
      </c>
      <c r="O109" s="4">
        <f t="shared" si="9"/>
        <v>17310</v>
      </c>
      <c r="P109" s="47">
        <f t="shared" si="8"/>
        <v>15455.357142857139</v>
      </c>
      <c r="Q109" s="47">
        <f t="shared" si="10"/>
        <v>1854.6428571428605</v>
      </c>
    </row>
    <row r="110" spans="1:17" x14ac:dyDescent="0.35">
      <c r="A110">
        <v>82</v>
      </c>
      <c r="E110" s="1">
        <v>5266</v>
      </c>
      <c r="F110" s="7"/>
      <c r="G110" s="7">
        <v>5472</v>
      </c>
      <c r="H110" s="44">
        <v>250218</v>
      </c>
      <c r="I110" s="1" t="s">
        <v>93</v>
      </c>
      <c r="J110" t="s">
        <v>57</v>
      </c>
      <c r="K110" s="63">
        <v>25</v>
      </c>
      <c r="L110" t="s">
        <v>94</v>
      </c>
      <c r="M110" s="57">
        <v>304.75</v>
      </c>
      <c r="N110" s="4">
        <f>M110/1.12</f>
        <v>272.09821428571428</v>
      </c>
      <c r="O110" s="4">
        <f t="shared" si="9"/>
        <v>7618.75</v>
      </c>
      <c r="P110" s="47">
        <f t="shared" si="8"/>
        <v>6802.4553571428569</v>
      </c>
      <c r="Q110" s="47">
        <f t="shared" si="10"/>
        <v>816.29464285714312</v>
      </c>
    </row>
    <row r="111" spans="1:17" x14ac:dyDescent="0.35">
      <c r="A111">
        <v>83</v>
      </c>
      <c r="E111" s="1">
        <v>5266</v>
      </c>
      <c r="F111" s="7"/>
      <c r="G111" s="7">
        <v>5472</v>
      </c>
      <c r="H111" s="44">
        <v>250218</v>
      </c>
      <c r="I111" s="1" t="s">
        <v>93</v>
      </c>
      <c r="J111" t="s">
        <v>25</v>
      </c>
      <c r="K111" s="63">
        <v>50</v>
      </c>
      <c r="L111" t="s">
        <v>94</v>
      </c>
      <c r="M111" s="57">
        <v>168</v>
      </c>
      <c r="N111" s="4">
        <f>M111/1.12</f>
        <v>149.99999999999997</v>
      </c>
      <c r="O111" s="4">
        <f t="shared" si="9"/>
        <v>8400</v>
      </c>
      <c r="P111" s="47">
        <f t="shared" si="8"/>
        <v>7499.9999999999982</v>
      </c>
      <c r="Q111" s="47">
        <f t="shared" si="10"/>
        <v>900.00000000000182</v>
      </c>
    </row>
    <row r="112" spans="1:17" x14ac:dyDescent="0.35">
      <c r="A112">
        <v>84</v>
      </c>
      <c r="E112" s="1">
        <v>5267</v>
      </c>
      <c r="F112" s="7">
        <v>30</v>
      </c>
      <c r="G112" s="7">
        <v>5473</v>
      </c>
      <c r="H112" s="44">
        <v>250219</v>
      </c>
      <c r="I112" s="1" t="s">
        <v>81</v>
      </c>
      <c r="J112" t="s">
        <v>13</v>
      </c>
      <c r="K112" s="63">
        <v>6</v>
      </c>
      <c r="L112" t="s">
        <v>74</v>
      </c>
      <c r="M112" s="57">
        <v>7020.72</v>
      </c>
      <c r="N112" s="4">
        <f>M112/1.12</f>
        <v>6268.5</v>
      </c>
      <c r="O112" s="4">
        <f t="shared" si="9"/>
        <v>42124.32</v>
      </c>
      <c r="P112" s="47">
        <f t="shared" si="8"/>
        <v>37611</v>
      </c>
      <c r="Q112" s="47">
        <f t="shared" si="10"/>
        <v>4513.32</v>
      </c>
    </row>
    <row r="113" spans="1:18" x14ac:dyDescent="0.35">
      <c r="A113">
        <v>85</v>
      </c>
      <c r="E113" s="1">
        <v>5267</v>
      </c>
      <c r="F113" s="7">
        <v>30</v>
      </c>
      <c r="G113" s="7">
        <v>5473</v>
      </c>
      <c r="H113" s="44">
        <v>250219</v>
      </c>
      <c r="I113" s="1" t="s">
        <v>81</v>
      </c>
      <c r="J113" t="s">
        <v>14</v>
      </c>
      <c r="K113" s="63">
        <v>4</v>
      </c>
      <c r="L113" t="s">
        <v>74</v>
      </c>
      <c r="M113" s="57">
        <v>6667.92</v>
      </c>
      <c r="N113" s="4">
        <f>M113/1.12</f>
        <v>5953.4999999999991</v>
      </c>
      <c r="O113" s="4">
        <f t="shared" si="9"/>
        <v>26671.68</v>
      </c>
      <c r="P113" s="47">
        <f t="shared" si="8"/>
        <v>23813.999999999996</v>
      </c>
      <c r="Q113" s="47">
        <f t="shared" si="10"/>
        <v>2857.6800000000039</v>
      </c>
    </row>
    <row r="114" spans="1:18" x14ac:dyDescent="0.35">
      <c r="A114">
        <v>86</v>
      </c>
      <c r="E114" s="1">
        <v>5267</v>
      </c>
      <c r="F114" s="7">
        <v>30</v>
      </c>
      <c r="G114" s="7">
        <v>5473</v>
      </c>
      <c r="H114" s="44">
        <v>250219</v>
      </c>
      <c r="I114" s="1" t="s">
        <v>81</v>
      </c>
      <c r="J114" t="s">
        <v>57</v>
      </c>
      <c r="K114" s="63">
        <v>1</v>
      </c>
      <c r="L114" t="s">
        <v>74</v>
      </c>
      <c r="M114" s="57">
        <v>6000</v>
      </c>
      <c r="N114" s="4">
        <f>M114/1.12</f>
        <v>5357.1428571428569</v>
      </c>
      <c r="O114" s="4">
        <f t="shared" si="9"/>
        <v>6000</v>
      </c>
      <c r="P114" s="47">
        <f t="shared" si="8"/>
        <v>5357.1428571428569</v>
      </c>
      <c r="Q114" s="47">
        <f t="shared" si="10"/>
        <v>642.85714285714312</v>
      </c>
    </row>
    <row r="115" spans="1:18" x14ac:dyDescent="0.35">
      <c r="A115">
        <v>87</v>
      </c>
      <c r="E115" s="1">
        <v>5268</v>
      </c>
      <c r="F115" s="7">
        <v>30</v>
      </c>
      <c r="G115" s="7">
        <v>5474</v>
      </c>
      <c r="H115" s="44">
        <v>250219</v>
      </c>
      <c r="I115" s="1" t="s">
        <v>58</v>
      </c>
      <c r="J115" t="s">
        <v>10</v>
      </c>
      <c r="K115" s="45">
        <v>1070</v>
      </c>
      <c r="L115" t="s">
        <v>59</v>
      </c>
      <c r="M115" s="4">
        <v>710</v>
      </c>
      <c r="N115" s="4">
        <f>M115/1.12</f>
        <v>633.92857142857133</v>
      </c>
      <c r="O115" s="4">
        <f>M115*K115</f>
        <v>759700</v>
      </c>
      <c r="P115" s="47">
        <f>M115</f>
        <v>710</v>
      </c>
      <c r="Q115" s="47">
        <f t="shared" si="10"/>
        <v>758990</v>
      </c>
    </row>
    <row r="116" spans="1:18" x14ac:dyDescent="0.35">
      <c r="A116">
        <v>88</v>
      </c>
      <c r="E116" s="1">
        <v>5269</v>
      </c>
      <c r="F116" s="7">
        <v>60</v>
      </c>
      <c r="G116" s="7">
        <v>5475</v>
      </c>
      <c r="H116" s="44">
        <v>250224</v>
      </c>
      <c r="I116" s="1" t="s">
        <v>61</v>
      </c>
      <c r="J116" t="s">
        <v>18</v>
      </c>
      <c r="K116" s="63">
        <v>62</v>
      </c>
      <c r="L116" t="s">
        <v>59</v>
      </c>
      <c r="M116" s="55">
        <v>1700</v>
      </c>
      <c r="N116" s="4">
        <f>M116/1.12</f>
        <v>1517.8571428571427</v>
      </c>
      <c r="O116" s="4">
        <f t="shared" si="9"/>
        <v>105400</v>
      </c>
      <c r="P116" s="47">
        <f t="shared" si="8"/>
        <v>94107.142857142841</v>
      </c>
      <c r="Q116" s="47">
        <f t="shared" si="10"/>
        <v>11292.857142857159</v>
      </c>
    </row>
    <row r="117" spans="1:18" x14ac:dyDescent="0.35">
      <c r="A117">
        <v>89</v>
      </c>
      <c r="E117" s="1">
        <v>5270</v>
      </c>
      <c r="F117" s="7">
        <v>60</v>
      </c>
      <c r="G117" s="7">
        <v>5476</v>
      </c>
      <c r="H117" s="44">
        <v>250226</v>
      </c>
      <c r="I117" s="1" t="s">
        <v>62</v>
      </c>
      <c r="J117" t="s">
        <v>13</v>
      </c>
      <c r="K117" s="63">
        <v>240</v>
      </c>
      <c r="L117" t="s">
        <v>94</v>
      </c>
      <c r="M117" s="57">
        <v>358.4</v>
      </c>
      <c r="N117" s="4">
        <f>M117/1.12</f>
        <v>319.99999999999994</v>
      </c>
      <c r="O117" s="4">
        <f t="shared" si="9"/>
        <v>86016</v>
      </c>
      <c r="P117" s="47">
        <f>K117*N117</f>
        <v>76799.999999999985</v>
      </c>
      <c r="Q117" s="47">
        <f>O117-P117</f>
        <v>9216.0000000000146</v>
      </c>
    </row>
    <row r="118" spans="1:18" x14ac:dyDescent="0.35">
      <c r="A118">
        <v>90</v>
      </c>
      <c r="E118" s="1">
        <v>2571</v>
      </c>
      <c r="F118" s="7">
        <v>60</v>
      </c>
      <c r="G118" s="7">
        <v>5476</v>
      </c>
      <c r="H118" s="44">
        <v>250226</v>
      </c>
      <c r="I118" s="1" t="s">
        <v>62</v>
      </c>
      <c r="J118" t="s">
        <v>14</v>
      </c>
      <c r="K118" s="63">
        <v>270</v>
      </c>
      <c r="L118" t="s">
        <v>94</v>
      </c>
      <c r="M118" s="57">
        <v>353.92</v>
      </c>
      <c r="N118" s="4">
        <f>M118/1.12</f>
        <v>316</v>
      </c>
      <c r="O118" s="4">
        <f t="shared" si="9"/>
        <v>95558.400000000009</v>
      </c>
      <c r="P118" s="47">
        <f t="shared" ref="P118:P120" si="11">K118*N118</f>
        <v>85320</v>
      </c>
      <c r="Q118" s="47">
        <f t="shared" ref="Q118:Q120" si="12">O118-P118</f>
        <v>10238.400000000009</v>
      </c>
    </row>
    <row r="119" spans="1:18" x14ac:dyDescent="0.35">
      <c r="A119">
        <v>91</v>
      </c>
      <c r="E119" s="1">
        <v>5272</v>
      </c>
      <c r="F119" s="7">
        <v>60</v>
      </c>
      <c r="G119" s="7">
        <v>5476</v>
      </c>
      <c r="H119" s="44">
        <v>250226</v>
      </c>
      <c r="I119" s="1" t="s">
        <v>62</v>
      </c>
      <c r="J119" t="s">
        <v>8</v>
      </c>
      <c r="K119" s="63">
        <v>350</v>
      </c>
      <c r="L119" t="s">
        <v>94</v>
      </c>
      <c r="M119" s="57">
        <v>364</v>
      </c>
      <c r="N119" s="4">
        <f>M119/1.12</f>
        <v>324.99999999999994</v>
      </c>
      <c r="O119" s="4">
        <f t="shared" si="9"/>
        <v>127400</v>
      </c>
      <c r="P119" s="47">
        <f t="shared" si="11"/>
        <v>113749.99999999999</v>
      </c>
      <c r="Q119" s="47">
        <f t="shared" si="12"/>
        <v>13650.000000000015</v>
      </c>
    </row>
    <row r="120" spans="1:18" x14ac:dyDescent="0.35">
      <c r="A120">
        <v>92</v>
      </c>
      <c r="E120" s="1">
        <v>5273</v>
      </c>
      <c r="F120" s="7">
        <v>60</v>
      </c>
      <c r="G120" s="7">
        <v>5476</v>
      </c>
      <c r="H120" s="44">
        <v>250226</v>
      </c>
      <c r="I120" s="1" t="s">
        <v>62</v>
      </c>
      <c r="J120" t="s">
        <v>65</v>
      </c>
      <c r="K120" s="63">
        <v>300</v>
      </c>
      <c r="L120" t="s">
        <v>94</v>
      </c>
      <c r="M120" s="57">
        <v>20.38</v>
      </c>
      <c r="N120" s="4">
        <f>M120/1.12</f>
        <v>18.196428571428569</v>
      </c>
      <c r="O120" s="4">
        <f t="shared" si="9"/>
        <v>6114</v>
      </c>
      <c r="P120" s="47">
        <f t="shared" si="11"/>
        <v>5458.9285714285706</v>
      </c>
      <c r="Q120" s="47">
        <f t="shared" si="12"/>
        <v>655.07142857142935</v>
      </c>
    </row>
    <row r="121" spans="1:18" x14ac:dyDescent="0.35">
      <c r="A121">
        <v>93</v>
      </c>
      <c r="E121" s="1">
        <v>5274</v>
      </c>
      <c r="F121" s="7">
        <v>30</v>
      </c>
      <c r="G121" s="7">
        <v>5477</v>
      </c>
      <c r="H121" s="44">
        <v>250227</v>
      </c>
      <c r="I121" s="1" t="s">
        <v>95</v>
      </c>
      <c r="J121" t="s">
        <v>57</v>
      </c>
      <c r="K121" s="63">
        <v>300</v>
      </c>
      <c r="L121" t="s">
        <v>94</v>
      </c>
      <c r="M121" s="57">
        <v>194.4</v>
      </c>
      <c r="N121" s="4">
        <f>M121/1.12</f>
        <v>173.57142857142856</v>
      </c>
      <c r="O121" s="4">
        <f t="shared" si="9"/>
        <v>58320</v>
      </c>
      <c r="P121" s="47">
        <f t="shared" si="8"/>
        <v>52071.428571428565</v>
      </c>
      <c r="Q121" s="47">
        <f t="shared" si="10"/>
        <v>6248.5714285714348</v>
      </c>
    </row>
    <row r="122" spans="1:18" x14ac:dyDescent="0.35">
      <c r="A122">
        <v>94</v>
      </c>
      <c r="E122" s="1">
        <v>5275</v>
      </c>
      <c r="F122" s="7">
        <v>30</v>
      </c>
      <c r="G122" s="7">
        <v>5478</v>
      </c>
      <c r="H122" s="44">
        <v>250227</v>
      </c>
      <c r="I122" s="1" t="s">
        <v>72</v>
      </c>
      <c r="J122" t="s">
        <v>13</v>
      </c>
      <c r="K122" s="45">
        <v>660</v>
      </c>
      <c r="L122" t="s">
        <v>94</v>
      </c>
      <c r="M122" s="4">
        <v>300.5</v>
      </c>
      <c r="N122" s="4">
        <f>M122/1.12</f>
        <v>268.30357142857139</v>
      </c>
      <c r="O122" s="4">
        <f t="shared" si="9"/>
        <v>198330</v>
      </c>
      <c r="P122" s="47">
        <f>K122*N122</f>
        <v>177080.35714285713</v>
      </c>
      <c r="Q122" s="47">
        <f t="shared" si="10"/>
        <v>21249.64285714287</v>
      </c>
    </row>
    <row r="123" spans="1:18" x14ac:dyDescent="0.35">
      <c r="A123">
        <v>95</v>
      </c>
      <c r="E123" s="1">
        <v>5275</v>
      </c>
      <c r="F123" s="7">
        <v>30</v>
      </c>
      <c r="G123" s="7">
        <v>5478</v>
      </c>
      <c r="H123" s="44">
        <v>250227</v>
      </c>
      <c r="I123" s="1" t="s">
        <v>72</v>
      </c>
      <c r="J123" t="s">
        <v>15</v>
      </c>
      <c r="K123" s="45">
        <v>630</v>
      </c>
      <c r="L123" t="s">
        <v>94</v>
      </c>
      <c r="M123" s="4">
        <v>288.5</v>
      </c>
      <c r="N123" s="4">
        <v>288.5</v>
      </c>
      <c r="O123" s="4">
        <f t="shared" si="9"/>
        <v>181755</v>
      </c>
      <c r="P123" s="47">
        <f t="shared" ref="P123:P126" si="13">K123*N123</f>
        <v>181755</v>
      </c>
      <c r="Q123" s="47">
        <f t="shared" si="10"/>
        <v>0</v>
      </c>
    </row>
    <row r="124" spans="1:18" x14ac:dyDescent="0.35">
      <c r="A124">
        <v>96</v>
      </c>
      <c r="E124" s="1">
        <v>5275</v>
      </c>
      <c r="F124" s="7">
        <v>30</v>
      </c>
      <c r="G124" s="7">
        <v>5478</v>
      </c>
      <c r="H124" s="44">
        <v>250227</v>
      </c>
      <c r="I124" s="1" t="s">
        <v>72</v>
      </c>
      <c r="J124" t="s">
        <v>57</v>
      </c>
      <c r="K124" s="45">
        <v>600</v>
      </c>
      <c r="L124" t="s">
        <v>94</v>
      </c>
      <c r="M124" s="4">
        <v>304.75</v>
      </c>
      <c r="N124" s="4">
        <f>M124/1.12</f>
        <v>272.09821428571428</v>
      </c>
      <c r="O124" s="4">
        <f t="shared" si="9"/>
        <v>182850</v>
      </c>
      <c r="P124" s="47">
        <f t="shared" si="13"/>
        <v>163258.92857142858</v>
      </c>
      <c r="Q124" s="47">
        <f t="shared" si="10"/>
        <v>19591.07142857142</v>
      </c>
    </row>
    <row r="125" spans="1:18" x14ac:dyDescent="0.35">
      <c r="A125">
        <v>97</v>
      </c>
      <c r="E125" s="1">
        <v>5276</v>
      </c>
      <c r="F125" s="7">
        <v>30</v>
      </c>
      <c r="G125" s="7">
        <v>5479</v>
      </c>
      <c r="H125" s="44">
        <v>250227</v>
      </c>
      <c r="I125" s="1" t="s">
        <v>58</v>
      </c>
      <c r="J125" s="53" t="s">
        <v>18</v>
      </c>
      <c r="K125" s="54">
        <v>50</v>
      </c>
      <c r="L125" s="53" t="s">
        <v>59</v>
      </c>
      <c r="M125" s="60">
        <v>1765</v>
      </c>
      <c r="N125" s="4">
        <f>M125/1.12</f>
        <v>1575.8928571428569</v>
      </c>
      <c r="O125" s="4">
        <f t="shared" si="9"/>
        <v>88250</v>
      </c>
      <c r="P125" s="47">
        <f t="shared" si="13"/>
        <v>78794.642857142841</v>
      </c>
      <c r="Q125" s="47">
        <f t="shared" si="10"/>
        <v>9455.3571428571595</v>
      </c>
    </row>
    <row r="126" spans="1:18" x14ac:dyDescent="0.35">
      <c r="A126">
        <v>98</v>
      </c>
      <c r="E126" s="1">
        <v>5277</v>
      </c>
      <c r="F126" s="7">
        <v>30</v>
      </c>
      <c r="G126" s="7">
        <v>5480</v>
      </c>
      <c r="H126" s="44">
        <v>250227</v>
      </c>
      <c r="I126" s="1" t="s">
        <v>58</v>
      </c>
      <c r="J126" s="53" t="s">
        <v>10</v>
      </c>
      <c r="K126" s="54">
        <v>1070</v>
      </c>
      <c r="L126" s="53" t="s">
        <v>59</v>
      </c>
      <c r="M126" s="60">
        <v>710</v>
      </c>
      <c r="N126" s="4">
        <f>M126/1.12</f>
        <v>633.92857142857133</v>
      </c>
      <c r="O126" s="4">
        <f t="shared" si="9"/>
        <v>759700</v>
      </c>
      <c r="P126" s="47">
        <f t="shared" si="13"/>
        <v>678303.57142857136</v>
      </c>
      <c r="Q126" s="47">
        <f t="shared" si="10"/>
        <v>81396.428571428638</v>
      </c>
    </row>
    <row r="127" spans="1:18" x14ac:dyDescent="0.35">
      <c r="A127">
        <v>99</v>
      </c>
      <c r="E127" s="1">
        <v>5278</v>
      </c>
      <c r="F127" s="7">
        <v>30</v>
      </c>
      <c r="G127" s="7">
        <v>5481</v>
      </c>
      <c r="H127" s="44">
        <v>250303</v>
      </c>
      <c r="I127" s="1" t="s">
        <v>96</v>
      </c>
      <c r="J127" s="53" t="s">
        <v>68</v>
      </c>
      <c r="K127" s="54">
        <v>1</v>
      </c>
      <c r="L127" s="53" t="s">
        <v>69</v>
      </c>
      <c r="M127" s="60">
        <v>323680</v>
      </c>
      <c r="N127" s="4">
        <f>M127/1.12</f>
        <v>289000</v>
      </c>
      <c r="O127" s="4">
        <f t="shared" si="9"/>
        <v>323680</v>
      </c>
      <c r="P127" s="47">
        <f t="shared" si="8"/>
        <v>289000</v>
      </c>
      <c r="Q127" s="47">
        <f t="shared" si="10"/>
        <v>34680</v>
      </c>
    </row>
    <row r="128" spans="1:18" x14ac:dyDescent="0.35">
      <c r="A128">
        <v>100</v>
      </c>
      <c r="E128" s="1">
        <v>5278</v>
      </c>
      <c r="F128" s="7">
        <v>30</v>
      </c>
      <c r="G128" s="7">
        <v>5481</v>
      </c>
      <c r="H128" s="44">
        <v>250303</v>
      </c>
      <c r="I128" s="1" t="s">
        <v>96</v>
      </c>
      <c r="J128" s="53" t="s">
        <v>13</v>
      </c>
      <c r="K128" s="54">
        <v>7</v>
      </c>
      <c r="L128" s="53" t="s">
        <v>74</v>
      </c>
      <c r="M128" s="57">
        <v>7020.72</v>
      </c>
      <c r="N128" s="4">
        <f>M128/1.12</f>
        <v>6268.5</v>
      </c>
      <c r="O128" s="4">
        <f t="shared" si="9"/>
        <v>49145.04</v>
      </c>
      <c r="P128" s="47">
        <f t="shared" si="8"/>
        <v>43879.5</v>
      </c>
      <c r="Q128" s="47">
        <f t="shared" si="10"/>
        <v>5265.5400000000009</v>
      </c>
      <c r="R128" s="19">
        <f>IF(J128="S10",#REF!,0)</f>
        <v>0</v>
      </c>
    </row>
    <row r="129" spans="1:18" x14ac:dyDescent="0.35">
      <c r="A129">
        <v>101</v>
      </c>
      <c r="E129" s="1">
        <v>5278</v>
      </c>
      <c r="F129" s="7">
        <v>30</v>
      </c>
      <c r="G129" s="7">
        <v>5481</v>
      </c>
      <c r="H129" s="44">
        <v>250303</v>
      </c>
      <c r="I129" s="1" t="s">
        <v>96</v>
      </c>
      <c r="J129" s="53" t="s">
        <v>14</v>
      </c>
      <c r="K129" s="54">
        <v>7</v>
      </c>
      <c r="L129" s="53" t="s">
        <v>74</v>
      </c>
      <c r="M129" s="57">
        <v>6667.92</v>
      </c>
      <c r="N129" s="4">
        <f>M129/1.12</f>
        <v>5953.4999999999991</v>
      </c>
      <c r="O129" s="4">
        <f t="shared" si="9"/>
        <v>46675.44</v>
      </c>
      <c r="P129" s="47">
        <f t="shared" si="8"/>
        <v>41674.499999999993</v>
      </c>
      <c r="Q129" s="47">
        <f t="shared" si="10"/>
        <v>5000.9400000000096</v>
      </c>
      <c r="R129" s="20"/>
    </row>
    <row r="130" spans="1:18" x14ac:dyDescent="0.35">
      <c r="A130">
        <v>102</v>
      </c>
      <c r="E130" s="1">
        <v>5278</v>
      </c>
      <c r="F130" s="7">
        <v>30</v>
      </c>
      <c r="G130" s="7">
        <v>5481</v>
      </c>
      <c r="H130" s="44">
        <v>250303</v>
      </c>
      <c r="I130" s="1" t="s">
        <v>96</v>
      </c>
      <c r="J130" s="53" t="s">
        <v>57</v>
      </c>
      <c r="K130" s="54">
        <v>18</v>
      </c>
      <c r="L130" s="53" t="s">
        <v>74</v>
      </c>
      <c r="M130" s="57">
        <v>6000</v>
      </c>
      <c r="N130" s="4">
        <f>M130/1.12</f>
        <v>5357.1428571428569</v>
      </c>
      <c r="O130" s="4">
        <f t="shared" si="9"/>
        <v>108000</v>
      </c>
      <c r="P130" s="47">
        <f t="shared" si="8"/>
        <v>96428.57142857142</v>
      </c>
      <c r="Q130" s="47">
        <f t="shared" si="10"/>
        <v>11571.42857142858</v>
      </c>
      <c r="R130" s="20"/>
    </row>
    <row r="131" spans="1:18" x14ac:dyDescent="0.35">
      <c r="A131">
        <v>103</v>
      </c>
      <c r="E131" s="1">
        <v>5279</v>
      </c>
      <c r="F131" s="7">
        <v>30</v>
      </c>
      <c r="G131" s="7">
        <v>5482</v>
      </c>
      <c r="H131" s="44">
        <v>250303</v>
      </c>
      <c r="I131" s="1" t="s">
        <v>86</v>
      </c>
      <c r="J131" s="53" t="s">
        <v>87</v>
      </c>
      <c r="K131" s="54">
        <v>1</v>
      </c>
      <c r="L131" s="53" t="s">
        <v>69</v>
      </c>
      <c r="M131" s="60">
        <v>30000</v>
      </c>
      <c r="N131" s="4">
        <f>M131/1.12</f>
        <v>26785.714285714283</v>
      </c>
      <c r="O131" s="4">
        <f t="shared" si="9"/>
        <v>30000</v>
      </c>
      <c r="P131" s="47">
        <f t="shared" si="8"/>
        <v>26785.714285714283</v>
      </c>
      <c r="Q131" s="47">
        <f t="shared" si="10"/>
        <v>3214.2857142857174</v>
      </c>
    </row>
    <row r="132" spans="1:18" x14ac:dyDescent="0.35">
      <c r="A132">
        <v>104</v>
      </c>
      <c r="E132" s="1">
        <v>5279</v>
      </c>
      <c r="F132" s="7">
        <v>30</v>
      </c>
      <c r="G132" s="7">
        <v>5482</v>
      </c>
      <c r="H132" s="44">
        <v>250303</v>
      </c>
      <c r="I132" s="1" t="s">
        <v>86</v>
      </c>
      <c r="J132" s="53" t="s">
        <v>13</v>
      </c>
      <c r="K132" s="54">
        <v>1</v>
      </c>
      <c r="L132" s="53" t="s">
        <v>74</v>
      </c>
      <c r="M132" s="57">
        <v>7020.72</v>
      </c>
      <c r="N132" s="4">
        <f>M132/1.12</f>
        <v>6268.5</v>
      </c>
      <c r="O132" s="4">
        <f t="shared" si="9"/>
        <v>7020.72</v>
      </c>
      <c r="P132" s="47">
        <f t="shared" si="8"/>
        <v>6268.5</v>
      </c>
      <c r="Q132" s="47">
        <f t="shared" si="10"/>
        <v>752.22000000000025</v>
      </c>
      <c r="R132" s="19"/>
    </row>
    <row r="133" spans="1:18" x14ac:dyDescent="0.35">
      <c r="A133">
        <v>105</v>
      </c>
      <c r="E133" s="1">
        <v>5279</v>
      </c>
      <c r="F133" s="7">
        <v>30</v>
      </c>
      <c r="G133" s="7">
        <v>5482</v>
      </c>
      <c r="H133" s="44">
        <v>250303</v>
      </c>
      <c r="I133" s="1" t="s">
        <v>86</v>
      </c>
      <c r="J133" s="53" t="s">
        <v>14</v>
      </c>
      <c r="K133" s="54">
        <v>1</v>
      </c>
      <c r="L133" s="53" t="s">
        <v>74</v>
      </c>
      <c r="M133" s="57">
        <v>6667.92</v>
      </c>
      <c r="N133" s="4">
        <f>M133/1.12</f>
        <v>5953.4999999999991</v>
      </c>
      <c r="O133" s="4">
        <f t="shared" si="9"/>
        <v>6667.92</v>
      </c>
      <c r="P133" s="47">
        <f t="shared" si="8"/>
        <v>5953.4999999999991</v>
      </c>
      <c r="Q133" s="47">
        <f t="shared" si="10"/>
        <v>714.42000000000098</v>
      </c>
    </row>
    <row r="134" spans="1:18" x14ac:dyDescent="0.35">
      <c r="A134">
        <v>106</v>
      </c>
      <c r="E134" s="1">
        <v>5280</v>
      </c>
      <c r="F134" s="7"/>
      <c r="G134" s="7">
        <v>5483</v>
      </c>
      <c r="H134" s="44">
        <v>250303</v>
      </c>
      <c r="I134" s="1" t="s">
        <v>97</v>
      </c>
      <c r="J134" s="53" t="s">
        <v>18</v>
      </c>
      <c r="K134" s="54">
        <v>8</v>
      </c>
      <c r="L134" s="53" t="s">
        <v>59</v>
      </c>
      <c r="M134" s="60">
        <v>1765</v>
      </c>
      <c r="N134" s="4">
        <f>M134/1.12</f>
        <v>1575.8928571428569</v>
      </c>
      <c r="O134" s="4">
        <f t="shared" si="9"/>
        <v>14120</v>
      </c>
      <c r="P134" s="47">
        <f t="shared" si="8"/>
        <v>12607.142857142855</v>
      </c>
      <c r="Q134" s="47">
        <f t="shared" si="10"/>
        <v>1512.8571428571449</v>
      </c>
    </row>
    <row r="135" spans="1:18" x14ac:dyDescent="0.35">
      <c r="A135">
        <v>107</v>
      </c>
      <c r="E135" s="1">
        <v>5280</v>
      </c>
      <c r="F135" s="7"/>
      <c r="G135" s="7">
        <v>5483</v>
      </c>
      <c r="H135" s="44">
        <v>250303</v>
      </c>
      <c r="I135" s="1" t="s">
        <v>97</v>
      </c>
      <c r="J135" s="53" t="s">
        <v>10</v>
      </c>
      <c r="K135" s="54">
        <v>16</v>
      </c>
      <c r="L135" s="53" t="s">
        <v>59</v>
      </c>
      <c r="M135" s="60">
        <v>710</v>
      </c>
      <c r="N135" s="4">
        <f>M135/1.12</f>
        <v>633.92857142857133</v>
      </c>
      <c r="O135" s="4">
        <f t="shared" si="9"/>
        <v>11360</v>
      </c>
      <c r="P135" s="47">
        <f t="shared" si="8"/>
        <v>10142.857142857141</v>
      </c>
      <c r="Q135" s="47">
        <f t="shared" si="10"/>
        <v>1217.1428571428587</v>
      </c>
    </row>
    <row r="136" spans="1:18" x14ac:dyDescent="0.35">
      <c r="A136">
        <v>108</v>
      </c>
      <c r="E136" s="1">
        <v>5281</v>
      </c>
      <c r="F136" s="7">
        <v>30</v>
      </c>
      <c r="G136" s="7">
        <v>5484</v>
      </c>
      <c r="H136" s="44">
        <v>250304</v>
      </c>
      <c r="I136" s="1" t="s">
        <v>81</v>
      </c>
      <c r="J136" s="53" t="s">
        <v>26</v>
      </c>
      <c r="K136" s="54">
        <v>6</v>
      </c>
      <c r="L136" s="53" t="s">
        <v>74</v>
      </c>
      <c r="M136" s="60">
        <v>10952.48</v>
      </c>
      <c r="N136" s="4">
        <f>M136/1.12</f>
        <v>9778.9999999999982</v>
      </c>
      <c r="O136" s="4">
        <f t="shared" si="9"/>
        <v>65714.880000000005</v>
      </c>
      <c r="P136" s="47">
        <f t="shared" si="8"/>
        <v>58673.999999999985</v>
      </c>
      <c r="Q136" s="47">
        <f t="shared" si="10"/>
        <v>7040.8800000000192</v>
      </c>
    </row>
    <row r="137" spans="1:18" x14ac:dyDescent="0.35">
      <c r="A137">
        <v>109</v>
      </c>
      <c r="E137" s="1">
        <v>5282</v>
      </c>
      <c r="F137" s="7">
        <v>30</v>
      </c>
      <c r="G137" s="7">
        <v>5485</v>
      </c>
      <c r="H137" s="44">
        <v>250305</v>
      </c>
      <c r="I137" s="1" t="s">
        <v>73</v>
      </c>
      <c r="J137" s="53" t="s">
        <v>26</v>
      </c>
      <c r="K137" s="54">
        <v>6</v>
      </c>
      <c r="L137" s="53" t="s">
        <v>74</v>
      </c>
      <c r="M137" s="60">
        <v>15950</v>
      </c>
      <c r="N137" s="4">
        <f>M137/1.12</f>
        <v>14241.071428571428</v>
      </c>
      <c r="O137" s="4">
        <f t="shared" si="9"/>
        <v>95700</v>
      </c>
      <c r="P137" s="47">
        <f t="shared" si="8"/>
        <v>85446.428571428565</v>
      </c>
      <c r="Q137" s="47">
        <f t="shared" si="10"/>
        <v>10253.571428571435</v>
      </c>
    </row>
    <row r="138" spans="1:18" x14ac:dyDescent="0.35">
      <c r="A138">
        <v>110</v>
      </c>
      <c r="E138" s="1">
        <v>5282</v>
      </c>
      <c r="F138" s="7">
        <v>30</v>
      </c>
      <c r="G138" s="7">
        <v>5485</v>
      </c>
      <c r="H138" s="44">
        <v>250305</v>
      </c>
      <c r="I138" s="1" t="s">
        <v>73</v>
      </c>
      <c r="J138" s="62" t="s">
        <v>28</v>
      </c>
      <c r="K138" s="54">
        <v>5</v>
      </c>
      <c r="L138" s="53" t="s">
        <v>74</v>
      </c>
      <c r="M138" s="60">
        <v>8347.5</v>
      </c>
      <c r="N138" s="4">
        <f>M138/1.12</f>
        <v>7453.1249999999991</v>
      </c>
      <c r="O138" s="4">
        <f t="shared" si="9"/>
        <v>41737.5</v>
      </c>
      <c r="P138" s="47">
        <f t="shared" si="8"/>
        <v>37265.624999999993</v>
      </c>
      <c r="Q138" s="47">
        <f t="shared" si="10"/>
        <v>4471.8750000000073</v>
      </c>
    </row>
    <row r="139" spans="1:18" x14ac:dyDescent="0.35">
      <c r="A139">
        <v>111</v>
      </c>
      <c r="E139" s="1">
        <v>5283</v>
      </c>
      <c r="F139" s="7">
        <v>30</v>
      </c>
      <c r="G139" s="7">
        <v>5486</v>
      </c>
      <c r="H139" s="44">
        <v>250306</v>
      </c>
      <c r="I139" s="1" t="s">
        <v>58</v>
      </c>
      <c r="J139" s="53" t="s">
        <v>10</v>
      </c>
      <c r="K139" s="54">
        <v>1070</v>
      </c>
      <c r="L139" s="53" t="s">
        <v>59</v>
      </c>
      <c r="M139" s="60">
        <v>710</v>
      </c>
      <c r="N139" s="4">
        <f>M139/1.12</f>
        <v>633.92857142857133</v>
      </c>
      <c r="O139" s="4">
        <f t="shared" si="9"/>
        <v>759700</v>
      </c>
      <c r="P139" s="47">
        <f t="shared" si="8"/>
        <v>678303.57142857136</v>
      </c>
      <c r="Q139" s="47">
        <f t="shared" si="10"/>
        <v>81396.428571428638</v>
      </c>
    </row>
    <row r="140" spans="1:18" x14ac:dyDescent="0.35">
      <c r="A140">
        <v>112</v>
      </c>
      <c r="E140" s="1">
        <v>5284</v>
      </c>
      <c r="F140" s="7">
        <v>30</v>
      </c>
      <c r="G140" s="7">
        <v>5487</v>
      </c>
      <c r="H140" s="44">
        <v>250306</v>
      </c>
      <c r="I140" s="1" t="s">
        <v>58</v>
      </c>
      <c r="J140" s="53" t="s">
        <v>10</v>
      </c>
      <c r="K140" s="54">
        <v>300</v>
      </c>
      <c r="L140" s="53" t="s">
        <v>59</v>
      </c>
      <c r="M140" s="60">
        <v>710</v>
      </c>
      <c r="N140" s="4">
        <f>M140/1.12</f>
        <v>633.92857142857133</v>
      </c>
      <c r="O140" s="4">
        <f t="shared" si="9"/>
        <v>213000</v>
      </c>
      <c r="P140" s="47">
        <f t="shared" si="8"/>
        <v>190178.57142857139</v>
      </c>
      <c r="Q140" s="47">
        <f t="shared" si="10"/>
        <v>22821.428571428609</v>
      </c>
    </row>
    <row r="141" spans="1:18" x14ac:dyDescent="0.35">
      <c r="A141">
        <v>113</v>
      </c>
      <c r="E141" s="1" t="s">
        <v>98</v>
      </c>
      <c r="F141" s="7"/>
      <c r="G141" s="64">
        <v>5488</v>
      </c>
      <c r="H141" s="44" t="s">
        <v>99</v>
      </c>
      <c r="I141" s="1" t="s">
        <v>100</v>
      </c>
      <c r="J141" t="s">
        <v>29</v>
      </c>
      <c r="K141" s="45">
        <v>1250</v>
      </c>
      <c r="L141" s="53" t="s">
        <v>56</v>
      </c>
      <c r="M141" s="4">
        <v>311.04000000000002</v>
      </c>
      <c r="N141" s="19"/>
      <c r="O141" s="46">
        <f t="shared" ref="O141" si="14">K141*M141</f>
        <v>388800</v>
      </c>
      <c r="P141" s="47">
        <f t="shared" si="8"/>
        <v>0</v>
      </c>
      <c r="Q141" s="47">
        <f t="shared" si="10"/>
        <v>388800</v>
      </c>
      <c r="R141" t="s">
        <v>64</v>
      </c>
    </row>
    <row r="142" spans="1:18" x14ac:dyDescent="0.35">
      <c r="A142">
        <v>114</v>
      </c>
      <c r="E142" s="1">
        <v>5286</v>
      </c>
      <c r="F142" s="7">
        <v>30</v>
      </c>
      <c r="G142" s="7">
        <v>5489</v>
      </c>
      <c r="H142" s="44">
        <v>250310</v>
      </c>
      <c r="I142" s="1" t="s">
        <v>101</v>
      </c>
      <c r="J142" s="53" t="s">
        <v>10</v>
      </c>
      <c r="K142" s="54">
        <v>30</v>
      </c>
      <c r="L142" s="53" t="s">
        <v>59</v>
      </c>
      <c r="M142" s="60">
        <v>710</v>
      </c>
      <c r="N142" s="4">
        <f>M142/1.12</f>
        <v>633.92857142857133</v>
      </c>
      <c r="O142" s="4">
        <f t="shared" si="9"/>
        <v>21300</v>
      </c>
      <c r="P142" s="47">
        <f t="shared" si="8"/>
        <v>19017.857142857141</v>
      </c>
      <c r="Q142" s="47">
        <f t="shared" si="10"/>
        <v>2282.1428571428587</v>
      </c>
    </row>
    <row r="143" spans="1:18" x14ac:dyDescent="0.35">
      <c r="A143">
        <v>115</v>
      </c>
      <c r="E143" s="1">
        <v>5287</v>
      </c>
      <c r="F143" s="7">
        <v>30</v>
      </c>
      <c r="G143" s="7">
        <v>5490</v>
      </c>
      <c r="H143" s="44">
        <v>250314</v>
      </c>
      <c r="I143" s="1" t="s">
        <v>58</v>
      </c>
      <c r="J143" s="53" t="s">
        <v>10</v>
      </c>
      <c r="K143" s="54">
        <v>1070</v>
      </c>
      <c r="L143" s="53" t="s">
        <v>59</v>
      </c>
      <c r="M143" s="60">
        <v>710</v>
      </c>
      <c r="N143" s="4">
        <f>M143/1.12</f>
        <v>633.92857142857133</v>
      </c>
      <c r="O143" s="4">
        <f t="shared" si="9"/>
        <v>759700</v>
      </c>
      <c r="P143" s="47">
        <f t="shared" si="8"/>
        <v>678303.57142857136</v>
      </c>
      <c r="Q143" s="47">
        <f t="shared" si="10"/>
        <v>81396.428571428638</v>
      </c>
    </row>
    <row r="144" spans="1:18" x14ac:dyDescent="0.35">
      <c r="A144">
        <v>116</v>
      </c>
      <c r="E144" s="1">
        <v>5288</v>
      </c>
      <c r="F144" s="7">
        <v>30</v>
      </c>
      <c r="G144" s="7">
        <v>5491</v>
      </c>
      <c r="H144" s="44">
        <v>250314</v>
      </c>
      <c r="I144" s="1" t="s">
        <v>58</v>
      </c>
      <c r="J144" s="53" t="s">
        <v>18</v>
      </c>
      <c r="K144" s="54">
        <v>200</v>
      </c>
      <c r="L144" s="53" t="s">
        <v>59</v>
      </c>
      <c r="M144" s="60">
        <v>1765</v>
      </c>
      <c r="N144" s="4">
        <f>M144/1.12</f>
        <v>1575.8928571428569</v>
      </c>
      <c r="O144" s="4">
        <f t="shared" si="9"/>
        <v>353000</v>
      </c>
      <c r="P144" s="47">
        <f t="shared" si="8"/>
        <v>315178.57142857136</v>
      </c>
      <c r="Q144" s="47">
        <f t="shared" si="10"/>
        <v>37821.428571428638</v>
      </c>
    </row>
    <row r="145" spans="1:17" x14ac:dyDescent="0.35">
      <c r="A145">
        <v>117</v>
      </c>
      <c r="E145" s="1">
        <v>5288</v>
      </c>
      <c r="F145" s="7">
        <v>30</v>
      </c>
      <c r="G145" s="7">
        <v>5492</v>
      </c>
      <c r="H145" s="44">
        <v>250321</v>
      </c>
      <c r="I145" s="1" t="s">
        <v>102</v>
      </c>
      <c r="J145" s="53" t="s">
        <v>103</v>
      </c>
      <c r="K145" s="54" t="s">
        <v>104</v>
      </c>
      <c r="L145" s="53"/>
      <c r="M145" s="60">
        <v>29000</v>
      </c>
      <c r="N145" s="4">
        <f>M145/1.12</f>
        <v>25892.857142857141</v>
      </c>
      <c r="O145" s="60">
        <v>29000</v>
      </c>
      <c r="P145" s="4">
        <f t="shared" ref="P145:P146" si="15">O145/1.12</f>
        <v>25892.857142857141</v>
      </c>
      <c r="Q145" s="47">
        <f>O145-P145</f>
        <v>3107.1428571428587</v>
      </c>
    </row>
    <row r="146" spans="1:17" x14ac:dyDescent="0.35">
      <c r="A146">
        <v>118</v>
      </c>
      <c r="E146" s="1">
        <v>5288</v>
      </c>
      <c r="F146" s="7">
        <v>30</v>
      </c>
      <c r="G146" s="7">
        <v>5493</v>
      </c>
      <c r="H146" s="44">
        <v>250321</v>
      </c>
      <c r="I146" s="1" t="s">
        <v>102</v>
      </c>
      <c r="J146" s="53" t="s">
        <v>103</v>
      </c>
      <c r="K146" s="54" t="s">
        <v>104</v>
      </c>
      <c r="L146" s="53"/>
      <c r="M146" s="60">
        <v>29000</v>
      </c>
      <c r="N146" s="4">
        <f>M146/1.12</f>
        <v>25892.857142857141</v>
      </c>
      <c r="O146" s="60">
        <v>29000</v>
      </c>
      <c r="P146" s="4">
        <f t="shared" si="15"/>
        <v>25892.857142857141</v>
      </c>
      <c r="Q146" s="47">
        <f>O146-P146</f>
        <v>3107.1428571428587</v>
      </c>
    </row>
    <row r="147" spans="1:17" x14ac:dyDescent="0.35">
      <c r="A147">
        <v>119</v>
      </c>
      <c r="E147" s="1">
        <v>5289</v>
      </c>
      <c r="F147" s="7"/>
      <c r="G147" s="7">
        <v>5494</v>
      </c>
      <c r="H147" s="44">
        <v>250321</v>
      </c>
      <c r="I147" s="1" t="s">
        <v>93</v>
      </c>
      <c r="J147" s="53" t="s">
        <v>13</v>
      </c>
      <c r="K147" s="54">
        <v>60</v>
      </c>
      <c r="L147" s="53" t="s">
        <v>94</v>
      </c>
      <c r="M147" s="60">
        <v>300.5</v>
      </c>
      <c r="N147" s="4">
        <f>M147/1.12</f>
        <v>268.30357142857139</v>
      </c>
      <c r="O147" s="4">
        <f t="shared" si="9"/>
        <v>18030</v>
      </c>
      <c r="P147" s="47">
        <f t="shared" si="8"/>
        <v>16098.214285714283</v>
      </c>
      <c r="Q147" s="47">
        <f t="shared" si="10"/>
        <v>1931.7857142857174</v>
      </c>
    </row>
    <row r="148" spans="1:17" x14ac:dyDescent="0.35">
      <c r="A148">
        <v>120</v>
      </c>
      <c r="E148" s="1">
        <v>5289</v>
      </c>
      <c r="F148" s="7"/>
      <c r="G148" s="7">
        <v>5494</v>
      </c>
      <c r="H148" s="44">
        <v>250321</v>
      </c>
      <c r="I148" s="1" t="s">
        <v>93</v>
      </c>
      <c r="J148" s="53" t="s">
        <v>14</v>
      </c>
      <c r="K148" s="54">
        <v>30</v>
      </c>
      <c r="L148" s="53" t="s">
        <v>94</v>
      </c>
      <c r="M148" s="60">
        <v>288.5</v>
      </c>
      <c r="N148" s="4">
        <f>M148/1.12</f>
        <v>257.58928571428567</v>
      </c>
      <c r="O148" s="4">
        <f t="shared" si="9"/>
        <v>8655</v>
      </c>
      <c r="P148" s="47">
        <f t="shared" si="8"/>
        <v>7727.6785714285697</v>
      </c>
      <c r="Q148" s="47">
        <f t="shared" si="10"/>
        <v>927.32142857143026</v>
      </c>
    </row>
    <row r="149" spans="1:17" x14ac:dyDescent="0.35">
      <c r="A149">
        <v>121</v>
      </c>
      <c r="E149" s="1">
        <v>5290</v>
      </c>
      <c r="F149" s="7">
        <v>30</v>
      </c>
      <c r="G149" s="7">
        <v>5495</v>
      </c>
      <c r="H149" s="44">
        <v>250324</v>
      </c>
      <c r="I149" s="1" t="s">
        <v>58</v>
      </c>
      <c r="J149" s="53" t="s">
        <v>10</v>
      </c>
      <c r="K149" s="54">
        <v>1070</v>
      </c>
      <c r="L149" s="53" t="s">
        <v>59</v>
      </c>
      <c r="M149" s="60">
        <v>710</v>
      </c>
      <c r="N149" s="4">
        <f>M149/1.12</f>
        <v>633.92857142857133</v>
      </c>
      <c r="O149" s="4">
        <f>M149*K149</f>
        <v>759700</v>
      </c>
      <c r="P149" s="47">
        <f t="shared" si="8"/>
        <v>678303.57142857136</v>
      </c>
      <c r="Q149" s="47">
        <f t="shared" si="10"/>
        <v>81396.428571428638</v>
      </c>
    </row>
    <row r="150" spans="1:17" x14ac:dyDescent="0.35">
      <c r="A150">
        <v>122</v>
      </c>
      <c r="E150" s="1">
        <v>5291</v>
      </c>
      <c r="F150" s="7">
        <v>30</v>
      </c>
      <c r="G150" s="7">
        <v>5496</v>
      </c>
      <c r="H150" s="44">
        <v>250324</v>
      </c>
      <c r="I150" s="1" t="s">
        <v>58</v>
      </c>
      <c r="J150" s="53" t="s">
        <v>10</v>
      </c>
      <c r="K150" s="54">
        <v>100</v>
      </c>
      <c r="L150" s="53" t="s">
        <v>59</v>
      </c>
      <c r="M150" s="60">
        <v>710</v>
      </c>
      <c r="N150" s="4">
        <f>M150/1.12</f>
        <v>633.92857142857133</v>
      </c>
      <c r="O150" s="4">
        <f>M150*K150</f>
        <v>71000</v>
      </c>
      <c r="P150" s="47">
        <f t="shared" si="8"/>
        <v>63392.85714285713</v>
      </c>
      <c r="Q150" s="47">
        <f t="shared" si="10"/>
        <v>7607.1428571428696</v>
      </c>
    </row>
    <row r="151" spans="1:17" x14ac:dyDescent="0.35">
      <c r="A151">
        <v>123</v>
      </c>
      <c r="E151" s="1">
        <v>5292</v>
      </c>
      <c r="F151" s="7">
        <v>30</v>
      </c>
      <c r="G151" s="7">
        <v>5497</v>
      </c>
      <c r="H151" s="44">
        <v>250324</v>
      </c>
      <c r="I151" s="1" t="s">
        <v>58</v>
      </c>
      <c r="J151" s="53" t="s">
        <v>18</v>
      </c>
      <c r="K151" s="54">
        <v>50</v>
      </c>
      <c r="L151" s="53" t="s">
        <v>59</v>
      </c>
      <c r="M151" s="60">
        <v>1765</v>
      </c>
      <c r="N151" s="4">
        <f>M151/1.12</f>
        <v>1575.8928571428569</v>
      </c>
      <c r="O151" s="4">
        <f t="shared" ref="O151:O169" si="16">M151*K151</f>
        <v>88250</v>
      </c>
      <c r="P151" s="47">
        <f t="shared" si="8"/>
        <v>78794.642857142841</v>
      </c>
      <c r="Q151" s="47">
        <f t="shared" si="10"/>
        <v>9455.3571428571595</v>
      </c>
    </row>
    <row r="152" spans="1:17" x14ac:dyDescent="0.35">
      <c r="A152">
        <v>124</v>
      </c>
      <c r="E152" s="1">
        <v>5293</v>
      </c>
      <c r="F152" s="7">
        <v>30</v>
      </c>
      <c r="G152" s="7">
        <v>5498</v>
      </c>
      <c r="H152" s="44">
        <v>250325</v>
      </c>
      <c r="I152" s="65" t="s">
        <v>81</v>
      </c>
      <c r="J152" t="s">
        <v>13</v>
      </c>
      <c r="K152" s="66">
        <v>9</v>
      </c>
      <c r="L152" s="53" t="s">
        <v>74</v>
      </c>
      <c r="M152" s="60">
        <v>7020.72</v>
      </c>
      <c r="N152" s="4">
        <f>M152/1.12</f>
        <v>6268.5</v>
      </c>
      <c r="O152" s="4">
        <f t="shared" si="16"/>
        <v>63186.48</v>
      </c>
      <c r="P152" s="47">
        <f t="shared" si="8"/>
        <v>56416.5</v>
      </c>
      <c r="Q152" s="47">
        <f t="shared" si="10"/>
        <v>6769.9800000000032</v>
      </c>
    </row>
    <row r="153" spans="1:17" x14ac:dyDescent="0.35">
      <c r="A153">
        <v>125</v>
      </c>
      <c r="E153" s="1">
        <v>5293</v>
      </c>
      <c r="F153" s="7">
        <v>30</v>
      </c>
      <c r="G153" s="7">
        <v>5498</v>
      </c>
      <c r="H153" s="44">
        <v>250325</v>
      </c>
      <c r="I153" s="65" t="s">
        <v>81</v>
      </c>
      <c r="J153" t="s">
        <v>14</v>
      </c>
      <c r="K153" s="66">
        <v>6</v>
      </c>
      <c r="L153" s="53" t="s">
        <v>74</v>
      </c>
      <c r="M153" s="60">
        <v>6667.92</v>
      </c>
      <c r="N153" s="4">
        <f>M153/1.12</f>
        <v>5953.4999999999991</v>
      </c>
      <c r="O153" s="4">
        <f t="shared" si="16"/>
        <v>40007.520000000004</v>
      </c>
      <c r="P153" s="47">
        <f t="shared" si="8"/>
        <v>35720.999999999993</v>
      </c>
      <c r="Q153" s="47">
        <f t="shared" si="10"/>
        <v>4286.5200000000114</v>
      </c>
    </row>
    <row r="154" spans="1:17" x14ac:dyDescent="0.35">
      <c r="A154">
        <v>126</v>
      </c>
      <c r="E154" s="1">
        <v>5293</v>
      </c>
      <c r="F154" s="7">
        <v>30</v>
      </c>
      <c r="G154" s="7">
        <v>5498</v>
      </c>
      <c r="H154" s="44">
        <v>250325</v>
      </c>
      <c r="I154" s="65" t="s">
        <v>81</v>
      </c>
      <c r="J154" t="s">
        <v>57</v>
      </c>
      <c r="K154" s="66">
        <v>2</v>
      </c>
      <c r="L154" s="53" t="s">
        <v>74</v>
      </c>
      <c r="M154" s="60">
        <v>6000</v>
      </c>
      <c r="N154" s="4">
        <f>M154/1.12</f>
        <v>5357.1428571428569</v>
      </c>
      <c r="O154" s="4">
        <f t="shared" si="16"/>
        <v>12000</v>
      </c>
      <c r="P154" s="47">
        <f t="shared" si="8"/>
        <v>10714.285714285714</v>
      </c>
      <c r="Q154" s="47">
        <f t="shared" si="10"/>
        <v>1285.7142857142862</v>
      </c>
    </row>
    <row r="155" spans="1:17" x14ac:dyDescent="0.35">
      <c r="A155">
        <v>127</v>
      </c>
      <c r="E155" s="1">
        <v>5294</v>
      </c>
      <c r="F155" s="7">
        <v>30</v>
      </c>
      <c r="G155" s="7">
        <v>5499</v>
      </c>
      <c r="H155" s="44">
        <v>250325</v>
      </c>
      <c r="I155" s="1" t="s">
        <v>105</v>
      </c>
      <c r="J155" s="53" t="s">
        <v>79</v>
      </c>
      <c r="K155" s="54">
        <v>6</v>
      </c>
      <c r="L155" s="53" t="s">
        <v>74</v>
      </c>
      <c r="M155" s="60">
        <v>10214.4</v>
      </c>
      <c r="N155" s="4">
        <f>M155/1.12</f>
        <v>9119.9999999999982</v>
      </c>
      <c r="O155" s="4">
        <f>M155*K155</f>
        <v>61286.399999999994</v>
      </c>
      <c r="P155" s="47">
        <f>K155*N155</f>
        <v>54719.999999999985</v>
      </c>
      <c r="Q155" s="47">
        <f>O155-P155</f>
        <v>6566.4000000000087</v>
      </c>
    </row>
    <row r="156" spans="1:17" x14ac:dyDescent="0.35">
      <c r="A156">
        <v>128</v>
      </c>
      <c r="E156" s="1">
        <v>5295</v>
      </c>
      <c r="F156" s="7">
        <v>30</v>
      </c>
      <c r="G156" s="7">
        <v>5500</v>
      </c>
      <c r="H156" s="44">
        <v>250326</v>
      </c>
      <c r="I156" s="1" t="s">
        <v>81</v>
      </c>
      <c r="J156" s="53" t="s">
        <v>26</v>
      </c>
      <c r="K156" s="54">
        <v>2</v>
      </c>
      <c r="L156" s="53" t="s">
        <v>74</v>
      </c>
      <c r="M156" s="60">
        <v>10952.48</v>
      </c>
      <c r="N156" s="4">
        <f>M156/1.12</f>
        <v>9778.9999999999982</v>
      </c>
      <c r="O156" s="4">
        <f>M156*K156</f>
        <v>21904.959999999999</v>
      </c>
      <c r="P156" s="47">
        <f>K156*N156</f>
        <v>19557.999999999996</v>
      </c>
      <c r="Q156" s="47">
        <f>O156-P156</f>
        <v>2346.9600000000028</v>
      </c>
    </row>
    <row r="157" spans="1:17" x14ac:dyDescent="0.35">
      <c r="A157">
        <v>129</v>
      </c>
      <c r="E157" s="1">
        <v>5295</v>
      </c>
      <c r="F157" s="7">
        <v>30</v>
      </c>
      <c r="G157" s="7">
        <v>5500</v>
      </c>
      <c r="H157" s="44">
        <v>250326</v>
      </c>
      <c r="I157" s="1" t="s">
        <v>81</v>
      </c>
      <c r="J157" s="53" t="s">
        <v>28</v>
      </c>
      <c r="K157" s="54">
        <v>1</v>
      </c>
      <c r="L157" s="53" t="s">
        <v>74</v>
      </c>
      <c r="M157" s="60">
        <v>5605.6</v>
      </c>
      <c r="N157" s="4">
        <f>M157/1.12</f>
        <v>5005</v>
      </c>
      <c r="O157" s="4">
        <f t="shared" ref="O157:O158" si="17">M157*K157</f>
        <v>5605.6</v>
      </c>
      <c r="P157" s="47">
        <f t="shared" ref="P157:P220" si="18">K157*N157</f>
        <v>5005</v>
      </c>
      <c r="Q157" s="47">
        <f t="shared" ref="Q157:Q158" si="19">O157-P157</f>
        <v>600.60000000000036</v>
      </c>
    </row>
    <row r="158" spans="1:17" x14ac:dyDescent="0.35">
      <c r="A158">
        <v>130</v>
      </c>
      <c r="E158" s="1">
        <v>5295</v>
      </c>
      <c r="F158" s="7">
        <v>30</v>
      </c>
      <c r="G158" s="7">
        <v>5500</v>
      </c>
      <c r="H158" s="44">
        <v>250326</v>
      </c>
      <c r="I158" s="1" t="s">
        <v>81</v>
      </c>
      <c r="J158" s="53" t="s">
        <v>25</v>
      </c>
      <c r="K158" s="54">
        <v>6</v>
      </c>
      <c r="L158" s="53" t="s">
        <v>74</v>
      </c>
      <c r="M158" s="60">
        <v>3360</v>
      </c>
      <c r="N158" s="4">
        <f>M158/1.12</f>
        <v>2999.9999999999995</v>
      </c>
      <c r="O158" s="4">
        <f t="shared" si="17"/>
        <v>20160</v>
      </c>
      <c r="P158" s="47">
        <f t="shared" si="18"/>
        <v>17999.999999999996</v>
      </c>
      <c r="Q158" s="47">
        <f t="shared" si="19"/>
        <v>2160.0000000000036</v>
      </c>
    </row>
    <row r="159" spans="1:17" x14ac:dyDescent="0.35">
      <c r="A159">
        <v>131</v>
      </c>
      <c r="E159" s="1">
        <v>5295</v>
      </c>
      <c r="F159" s="7">
        <v>30</v>
      </c>
      <c r="G159" s="7">
        <v>5500</v>
      </c>
      <c r="H159" s="44">
        <v>250326</v>
      </c>
      <c r="I159" s="1" t="s">
        <v>81</v>
      </c>
      <c r="J159" s="53" t="s">
        <v>30</v>
      </c>
      <c r="K159" s="54">
        <v>2</v>
      </c>
      <c r="L159" s="53" t="s">
        <v>74</v>
      </c>
      <c r="M159" s="60">
        <v>5600</v>
      </c>
      <c r="N159" s="4">
        <f>M159/1.12</f>
        <v>4999.9999999999991</v>
      </c>
      <c r="O159" s="4">
        <f t="shared" si="16"/>
        <v>11200</v>
      </c>
      <c r="P159" s="47">
        <f t="shared" si="18"/>
        <v>9999.9999999999982</v>
      </c>
      <c r="Q159" s="47">
        <f t="shared" si="10"/>
        <v>1200.0000000000018</v>
      </c>
    </row>
    <row r="160" spans="1:17" x14ac:dyDescent="0.35">
      <c r="A160">
        <v>132</v>
      </c>
      <c r="E160" s="1">
        <v>5296</v>
      </c>
      <c r="F160" s="7">
        <v>30</v>
      </c>
      <c r="G160" s="7">
        <v>5501</v>
      </c>
      <c r="H160" s="44">
        <v>250327</v>
      </c>
      <c r="I160" s="1" t="s">
        <v>73</v>
      </c>
      <c r="J160" s="53" t="s">
        <v>26</v>
      </c>
      <c r="K160" s="54">
        <v>6</v>
      </c>
      <c r="L160" s="53" t="s">
        <v>74</v>
      </c>
      <c r="M160" s="60">
        <v>15950</v>
      </c>
      <c r="N160" s="4">
        <f>M160/1.12</f>
        <v>14241.071428571428</v>
      </c>
      <c r="O160" s="4">
        <f t="shared" si="16"/>
        <v>95700</v>
      </c>
      <c r="P160" s="47">
        <f t="shared" si="18"/>
        <v>85446.428571428565</v>
      </c>
      <c r="Q160" s="47">
        <f t="shared" si="10"/>
        <v>10253.571428571435</v>
      </c>
    </row>
    <row r="161" spans="1:17" x14ac:dyDescent="0.35">
      <c r="A161">
        <v>133</v>
      </c>
      <c r="E161" s="1">
        <v>5296</v>
      </c>
      <c r="F161" s="7">
        <v>30</v>
      </c>
      <c r="G161" s="7">
        <v>5501</v>
      </c>
      <c r="H161" s="44">
        <v>250327</v>
      </c>
      <c r="I161" s="1" t="s">
        <v>73</v>
      </c>
      <c r="J161" s="53" t="s">
        <v>106</v>
      </c>
      <c r="K161" s="54">
        <v>2</v>
      </c>
      <c r="L161" s="53" t="s">
        <v>74</v>
      </c>
      <c r="M161" s="60">
        <v>8347.5</v>
      </c>
      <c r="N161" s="4">
        <f>M161/1.12</f>
        <v>7453.1249999999991</v>
      </c>
      <c r="O161" s="4">
        <f t="shared" si="16"/>
        <v>16695</v>
      </c>
      <c r="P161" s="47">
        <f t="shared" si="18"/>
        <v>14906.249999999998</v>
      </c>
      <c r="Q161" s="47">
        <f t="shared" si="10"/>
        <v>1788.7500000000018</v>
      </c>
    </row>
    <row r="162" spans="1:17" x14ac:dyDescent="0.35">
      <c r="A162">
        <v>134</v>
      </c>
      <c r="E162" s="1">
        <v>5297</v>
      </c>
      <c r="F162" s="7">
        <v>60</v>
      </c>
      <c r="G162" s="7">
        <v>5502</v>
      </c>
      <c r="H162" s="44">
        <v>250328</v>
      </c>
      <c r="I162" s="1" t="s">
        <v>62</v>
      </c>
      <c r="J162" t="s">
        <v>13</v>
      </c>
      <c r="K162" s="54">
        <v>210</v>
      </c>
      <c r="L162" s="53" t="s">
        <v>94</v>
      </c>
      <c r="M162" s="60">
        <v>358.4</v>
      </c>
      <c r="N162" s="4">
        <f>M162/1.12</f>
        <v>319.99999999999994</v>
      </c>
      <c r="O162" s="4">
        <f t="shared" si="16"/>
        <v>75264</v>
      </c>
      <c r="P162" s="47">
        <f t="shared" si="18"/>
        <v>67199.999999999985</v>
      </c>
      <c r="Q162" s="47">
        <f t="shared" si="10"/>
        <v>8064.0000000000146</v>
      </c>
    </row>
    <row r="163" spans="1:17" x14ac:dyDescent="0.35">
      <c r="A163">
        <v>135</v>
      </c>
      <c r="E163" s="1">
        <v>5298</v>
      </c>
      <c r="F163" s="7">
        <v>60</v>
      </c>
      <c r="G163" s="7">
        <v>5502</v>
      </c>
      <c r="H163" s="44">
        <v>250328</v>
      </c>
      <c r="I163" s="1" t="s">
        <v>62</v>
      </c>
      <c r="J163" t="s">
        <v>14</v>
      </c>
      <c r="K163" s="54">
        <v>270</v>
      </c>
      <c r="L163" s="53" t="s">
        <v>94</v>
      </c>
      <c r="M163" s="60">
        <v>353.92</v>
      </c>
      <c r="N163" s="4">
        <f>M163/1.12</f>
        <v>316</v>
      </c>
      <c r="O163" s="4">
        <f t="shared" si="16"/>
        <v>95558.400000000009</v>
      </c>
      <c r="P163" s="47">
        <f t="shared" si="18"/>
        <v>85320</v>
      </c>
      <c r="Q163" s="47">
        <f t="shared" si="10"/>
        <v>10238.400000000009</v>
      </c>
    </row>
    <row r="164" spans="1:17" x14ac:dyDescent="0.35">
      <c r="A164">
        <v>136</v>
      </c>
      <c r="E164" s="1">
        <v>5299</v>
      </c>
      <c r="F164" s="7">
        <v>60</v>
      </c>
      <c r="G164" s="7">
        <v>5502</v>
      </c>
      <c r="H164" s="44">
        <v>250328</v>
      </c>
      <c r="I164" s="1" t="s">
        <v>62</v>
      </c>
      <c r="J164" t="s">
        <v>8</v>
      </c>
      <c r="K164" s="54">
        <v>325</v>
      </c>
      <c r="L164" s="53" t="s">
        <v>94</v>
      </c>
      <c r="M164" s="60">
        <v>364</v>
      </c>
      <c r="N164" s="4">
        <f>M164/1.12</f>
        <v>324.99999999999994</v>
      </c>
      <c r="O164" s="4">
        <f t="shared" si="16"/>
        <v>118300</v>
      </c>
      <c r="P164" s="47">
        <f t="shared" si="18"/>
        <v>105624.99999999999</v>
      </c>
      <c r="Q164" s="47">
        <f t="shared" si="10"/>
        <v>12675.000000000015</v>
      </c>
    </row>
    <row r="165" spans="1:17" x14ac:dyDescent="0.35">
      <c r="A165">
        <v>137</v>
      </c>
      <c r="E165" s="1">
        <v>5300</v>
      </c>
      <c r="F165" s="7">
        <v>60</v>
      </c>
      <c r="G165" s="7">
        <v>5502</v>
      </c>
      <c r="H165" s="44">
        <v>250328</v>
      </c>
      <c r="I165" s="1" t="s">
        <v>62</v>
      </c>
      <c r="J165" s="53" t="s">
        <v>65</v>
      </c>
      <c r="K165" s="54">
        <v>250</v>
      </c>
      <c r="L165" s="53" t="s">
        <v>94</v>
      </c>
      <c r="M165" s="60">
        <v>20.38</v>
      </c>
      <c r="N165" s="4">
        <f>M165/1.12</f>
        <v>18.196428571428569</v>
      </c>
      <c r="O165" s="4">
        <f t="shared" si="16"/>
        <v>5095</v>
      </c>
      <c r="P165" s="47">
        <f t="shared" si="18"/>
        <v>4549.1071428571422</v>
      </c>
      <c r="Q165" s="47">
        <f t="shared" si="10"/>
        <v>545.89285714285779</v>
      </c>
    </row>
    <row r="166" spans="1:17" x14ac:dyDescent="0.35">
      <c r="A166">
        <v>138</v>
      </c>
      <c r="E166" s="1">
        <v>5301</v>
      </c>
      <c r="F166" s="7">
        <v>60</v>
      </c>
      <c r="G166" s="7">
        <v>5503</v>
      </c>
      <c r="H166" s="44">
        <v>250331</v>
      </c>
      <c r="I166" s="1" t="s">
        <v>61</v>
      </c>
      <c r="J166" s="53" t="s">
        <v>18</v>
      </c>
      <c r="K166" s="54">
        <v>110</v>
      </c>
      <c r="L166" s="53" t="s">
        <v>59</v>
      </c>
      <c r="M166" s="60">
        <v>1700</v>
      </c>
      <c r="N166" s="4">
        <f>M166/1.12</f>
        <v>1517.8571428571427</v>
      </c>
      <c r="O166" s="4">
        <f t="shared" si="16"/>
        <v>187000</v>
      </c>
      <c r="P166" s="47">
        <f t="shared" si="18"/>
        <v>166964.28571428568</v>
      </c>
      <c r="Q166" s="47">
        <f t="shared" si="10"/>
        <v>20035.714285714319</v>
      </c>
    </row>
    <row r="167" spans="1:17" x14ac:dyDescent="0.35">
      <c r="A167">
        <v>139</v>
      </c>
      <c r="E167" s="1">
        <v>5302</v>
      </c>
      <c r="F167" s="7">
        <v>30</v>
      </c>
      <c r="G167" s="7">
        <v>5504</v>
      </c>
      <c r="H167" s="44">
        <v>250331</v>
      </c>
      <c r="I167" s="1" t="s">
        <v>58</v>
      </c>
      <c r="J167" s="53" t="s">
        <v>10</v>
      </c>
      <c r="K167" s="54">
        <v>1070</v>
      </c>
      <c r="L167" s="53" t="s">
        <v>59</v>
      </c>
      <c r="M167" s="60">
        <v>710</v>
      </c>
      <c r="N167" s="4">
        <f>M167/1.12</f>
        <v>633.92857142857133</v>
      </c>
      <c r="O167" s="4">
        <f t="shared" si="16"/>
        <v>759700</v>
      </c>
      <c r="P167" s="47">
        <f t="shared" si="18"/>
        <v>678303.57142857136</v>
      </c>
      <c r="Q167" s="47">
        <f t="shared" si="10"/>
        <v>81396.428571428638</v>
      </c>
    </row>
    <row r="168" spans="1:17" x14ac:dyDescent="0.35">
      <c r="A168">
        <v>140</v>
      </c>
      <c r="E168" s="1">
        <v>5303</v>
      </c>
      <c r="F168" s="7">
        <v>30</v>
      </c>
      <c r="G168" s="7">
        <v>5505</v>
      </c>
      <c r="H168" s="44">
        <v>250331</v>
      </c>
      <c r="I168" s="1" t="s">
        <v>58</v>
      </c>
      <c r="J168" s="53" t="s">
        <v>10</v>
      </c>
      <c r="K168" s="54">
        <v>150</v>
      </c>
      <c r="L168" s="53" t="s">
        <v>59</v>
      </c>
      <c r="M168" s="60">
        <v>710</v>
      </c>
      <c r="N168" s="4">
        <f>M168/1.12</f>
        <v>633.92857142857133</v>
      </c>
      <c r="O168" s="4">
        <f t="shared" si="16"/>
        <v>106500</v>
      </c>
      <c r="P168" s="47">
        <f t="shared" si="18"/>
        <v>95089.285714285696</v>
      </c>
      <c r="Q168" s="47">
        <f t="shared" si="10"/>
        <v>11410.714285714304</v>
      </c>
    </row>
    <row r="169" spans="1:17" x14ac:dyDescent="0.35">
      <c r="A169">
        <v>141</v>
      </c>
      <c r="E169" s="1">
        <v>5304</v>
      </c>
      <c r="F169" s="7">
        <v>60</v>
      </c>
      <c r="G169" s="7">
        <v>5506</v>
      </c>
      <c r="H169" s="44">
        <v>250331</v>
      </c>
      <c r="I169" s="1" t="s">
        <v>61</v>
      </c>
      <c r="J169" s="53" t="s">
        <v>10</v>
      </c>
      <c r="K169" s="54">
        <v>250</v>
      </c>
      <c r="L169" s="53" t="s">
        <v>59</v>
      </c>
      <c r="M169" s="60">
        <v>710</v>
      </c>
      <c r="N169" s="4">
        <f>M169/1.12</f>
        <v>633.92857142857133</v>
      </c>
      <c r="O169" s="4">
        <f t="shared" si="16"/>
        <v>177500</v>
      </c>
      <c r="P169" s="47">
        <f t="shared" si="18"/>
        <v>158482.14285714284</v>
      </c>
      <c r="Q169" s="47">
        <f t="shared" si="10"/>
        <v>19017.857142857159</v>
      </c>
    </row>
    <row r="170" spans="1:17" x14ac:dyDescent="0.35">
      <c r="A170">
        <v>142</v>
      </c>
      <c r="E170" s="1">
        <v>5307</v>
      </c>
      <c r="F170" s="7">
        <v>30</v>
      </c>
      <c r="G170" s="7">
        <v>5507</v>
      </c>
      <c r="H170" s="44">
        <v>250404</v>
      </c>
      <c r="I170" s="1" t="s">
        <v>58</v>
      </c>
      <c r="J170" s="53" t="s">
        <v>10</v>
      </c>
      <c r="K170" s="54">
        <v>1070</v>
      </c>
      <c r="L170" s="53" t="s">
        <v>59</v>
      </c>
      <c r="M170" s="60">
        <v>710</v>
      </c>
      <c r="N170" s="4">
        <f>M170/1.12</f>
        <v>633.92857142857133</v>
      </c>
      <c r="O170" s="4">
        <f t="shared" si="9"/>
        <v>759700</v>
      </c>
      <c r="P170" s="47">
        <f t="shared" si="18"/>
        <v>678303.57142857136</v>
      </c>
      <c r="Q170" s="47">
        <f t="shared" si="10"/>
        <v>81396.428571428638</v>
      </c>
    </row>
    <row r="171" spans="1:17" x14ac:dyDescent="0.35">
      <c r="A171">
        <v>143</v>
      </c>
      <c r="E171" s="1">
        <v>5308</v>
      </c>
      <c r="F171" s="7">
        <v>30</v>
      </c>
      <c r="G171" s="7">
        <v>5508</v>
      </c>
      <c r="H171" s="44">
        <v>250404</v>
      </c>
      <c r="I171" s="1" t="s">
        <v>58</v>
      </c>
      <c r="J171" s="53" t="s">
        <v>10</v>
      </c>
      <c r="K171" s="54">
        <v>100</v>
      </c>
      <c r="L171" s="53" t="s">
        <v>59</v>
      </c>
      <c r="M171" s="60">
        <v>710</v>
      </c>
      <c r="N171" s="4">
        <f>M171/1.12</f>
        <v>633.92857142857133</v>
      </c>
      <c r="O171" s="4">
        <f t="shared" si="9"/>
        <v>71000</v>
      </c>
      <c r="P171" s="47">
        <f t="shared" si="18"/>
        <v>63392.85714285713</v>
      </c>
      <c r="Q171" s="47">
        <f t="shared" si="10"/>
        <v>7607.1428571428696</v>
      </c>
    </row>
    <row r="172" spans="1:17" x14ac:dyDescent="0.35">
      <c r="A172">
        <v>144</v>
      </c>
      <c r="E172" s="1">
        <v>5309</v>
      </c>
      <c r="F172" s="7"/>
      <c r="G172" s="7">
        <v>5509</v>
      </c>
      <c r="H172" s="44">
        <v>250408</v>
      </c>
      <c r="I172" s="1" t="s">
        <v>80</v>
      </c>
      <c r="J172" s="53" t="s">
        <v>10</v>
      </c>
      <c r="K172" s="54">
        <v>150</v>
      </c>
      <c r="L172" s="53" t="s">
        <v>59</v>
      </c>
      <c r="M172" s="60">
        <v>1400</v>
      </c>
      <c r="N172" s="4">
        <f>M172/1.12</f>
        <v>1249.9999999999998</v>
      </c>
      <c r="O172" s="4">
        <f t="shared" si="9"/>
        <v>210000</v>
      </c>
      <c r="P172" s="47">
        <f t="shared" si="18"/>
        <v>187499.99999999997</v>
      </c>
      <c r="Q172" s="47">
        <f t="shared" si="10"/>
        <v>22500.000000000029</v>
      </c>
    </row>
    <row r="173" spans="1:17" x14ac:dyDescent="0.35">
      <c r="A173">
        <v>145</v>
      </c>
      <c r="E173" s="1">
        <v>5310</v>
      </c>
      <c r="F173" s="7">
        <v>30</v>
      </c>
      <c r="G173" s="7">
        <v>5510</v>
      </c>
      <c r="H173" s="44">
        <v>250410</v>
      </c>
      <c r="I173" s="1" t="s">
        <v>58</v>
      </c>
      <c r="J173" s="53" t="s">
        <v>10</v>
      </c>
      <c r="K173" s="54">
        <v>535</v>
      </c>
      <c r="L173" s="53" t="s">
        <v>59</v>
      </c>
      <c r="M173" s="60">
        <v>710</v>
      </c>
      <c r="N173" s="4">
        <f>M173/1.12</f>
        <v>633.92857142857133</v>
      </c>
      <c r="O173" s="4">
        <f t="shared" si="9"/>
        <v>379850</v>
      </c>
      <c r="P173" s="47">
        <f t="shared" si="18"/>
        <v>339151.78571428568</v>
      </c>
      <c r="Q173" s="47">
        <f t="shared" si="10"/>
        <v>40698.214285714319</v>
      </c>
    </row>
    <row r="174" spans="1:17" x14ac:dyDescent="0.35">
      <c r="A174">
        <v>146</v>
      </c>
      <c r="E174" s="1">
        <v>5311</v>
      </c>
      <c r="F174" s="7">
        <v>30</v>
      </c>
      <c r="G174" s="7">
        <v>5511</v>
      </c>
      <c r="H174" s="44">
        <v>250410</v>
      </c>
      <c r="I174" s="1" t="s">
        <v>58</v>
      </c>
      <c r="J174" s="53" t="s">
        <v>10</v>
      </c>
      <c r="K174" s="54">
        <v>300</v>
      </c>
      <c r="L174" s="53" t="s">
        <v>59</v>
      </c>
      <c r="M174" s="60">
        <v>710</v>
      </c>
      <c r="N174" s="4">
        <f>M174/1.12</f>
        <v>633.92857142857133</v>
      </c>
      <c r="O174" s="4">
        <f t="shared" si="9"/>
        <v>213000</v>
      </c>
      <c r="P174" s="47">
        <f t="shared" si="18"/>
        <v>190178.57142857139</v>
      </c>
      <c r="Q174" s="47">
        <f t="shared" si="10"/>
        <v>22821.428571428609</v>
      </c>
    </row>
    <row r="175" spans="1:17" x14ac:dyDescent="0.35">
      <c r="A175">
        <v>147</v>
      </c>
      <c r="E175" s="1">
        <v>5312</v>
      </c>
      <c r="F175" s="7">
        <v>60</v>
      </c>
      <c r="G175" s="7">
        <v>5512</v>
      </c>
      <c r="H175" s="44">
        <v>250410</v>
      </c>
      <c r="I175" s="1" t="s">
        <v>61</v>
      </c>
      <c r="J175" s="53" t="s">
        <v>107</v>
      </c>
      <c r="K175" s="54">
        <v>30</v>
      </c>
      <c r="L175" s="53" t="s">
        <v>59</v>
      </c>
      <c r="M175" s="60">
        <v>710</v>
      </c>
      <c r="N175" s="4">
        <f>M175/1.12</f>
        <v>633.92857142857133</v>
      </c>
      <c r="O175" s="4">
        <f t="shared" si="9"/>
        <v>21300</v>
      </c>
      <c r="P175" s="47">
        <f t="shared" si="18"/>
        <v>19017.857142857141</v>
      </c>
      <c r="Q175" s="47">
        <f t="shared" si="10"/>
        <v>2282.1428571428587</v>
      </c>
    </row>
    <row r="176" spans="1:17" x14ac:dyDescent="0.35">
      <c r="A176">
        <v>148</v>
      </c>
      <c r="E176" s="1">
        <v>5313</v>
      </c>
      <c r="F176" s="7">
        <v>30</v>
      </c>
      <c r="G176" s="7">
        <v>5513</v>
      </c>
      <c r="H176" s="44">
        <v>250411</v>
      </c>
      <c r="I176" s="1" t="s">
        <v>73</v>
      </c>
      <c r="J176" s="53" t="s">
        <v>26</v>
      </c>
      <c r="K176" s="54">
        <v>6</v>
      </c>
      <c r="L176" s="53" t="s">
        <v>74</v>
      </c>
      <c r="M176" s="60">
        <v>15950</v>
      </c>
      <c r="N176" s="4">
        <f>M176/1.12</f>
        <v>14241.071428571428</v>
      </c>
      <c r="O176" s="4">
        <f t="shared" si="9"/>
        <v>95700</v>
      </c>
      <c r="P176" s="47">
        <f t="shared" si="18"/>
        <v>85446.428571428565</v>
      </c>
      <c r="Q176" s="47">
        <f t="shared" si="10"/>
        <v>10253.571428571435</v>
      </c>
    </row>
    <row r="177" spans="1:18" x14ac:dyDescent="0.35">
      <c r="A177">
        <v>149</v>
      </c>
      <c r="E177" s="1">
        <v>5313</v>
      </c>
      <c r="F177" s="7">
        <v>30</v>
      </c>
      <c r="G177" s="7">
        <v>5513</v>
      </c>
      <c r="H177" s="44">
        <v>250411</v>
      </c>
      <c r="I177" s="1" t="s">
        <v>73</v>
      </c>
      <c r="J177" s="53" t="s">
        <v>106</v>
      </c>
      <c r="K177" s="54">
        <v>2</v>
      </c>
      <c r="L177" s="53" t="s">
        <v>74</v>
      </c>
      <c r="M177" s="60">
        <v>8347.5</v>
      </c>
      <c r="N177" s="4">
        <f>M177/1.12</f>
        <v>7453.1249999999991</v>
      </c>
      <c r="O177" s="4">
        <f>M177*K177</f>
        <v>16695</v>
      </c>
      <c r="P177" s="47">
        <f>K177*N177</f>
        <v>14906.249999999998</v>
      </c>
      <c r="Q177" s="47">
        <f>O177-P177</f>
        <v>1788.7500000000018</v>
      </c>
    </row>
    <row r="178" spans="1:18" x14ac:dyDescent="0.35">
      <c r="A178">
        <v>150</v>
      </c>
      <c r="E178" s="1">
        <v>5314</v>
      </c>
      <c r="F178" s="7">
        <v>30</v>
      </c>
      <c r="G178" s="7">
        <v>5514</v>
      </c>
      <c r="H178" s="44">
        <v>250414</v>
      </c>
      <c r="I178" s="45" t="s">
        <v>108</v>
      </c>
      <c r="J178" s="45" t="s">
        <v>14</v>
      </c>
      <c r="K178" s="66">
        <v>120</v>
      </c>
      <c r="L178" s="45" t="s">
        <v>94</v>
      </c>
      <c r="M178" s="60">
        <v>290.3</v>
      </c>
      <c r="N178" s="4">
        <f>M178/1.12</f>
        <v>259.19642857142856</v>
      </c>
      <c r="O178" s="4">
        <f>M178*K178</f>
        <v>34836</v>
      </c>
      <c r="P178" s="47">
        <f>K178*N178</f>
        <v>31103.571428571428</v>
      </c>
      <c r="Q178" s="20">
        <f>O178-P178</f>
        <v>3732.4285714285725</v>
      </c>
      <c r="R178" s="20"/>
    </row>
    <row r="179" spans="1:18" x14ac:dyDescent="0.35">
      <c r="A179">
        <v>151</v>
      </c>
      <c r="E179" s="1">
        <v>5315</v>
      </c>
      <c r="F179" s="7"/>
      <c r="G179" s="7">
        <v>5515</v>
      </c>
      <c r="H179" s="44">
        <v>250411</v>
      </c>
      <c r="I179" s="1" t="s">
        <v>93</v>
      </c>
      <c r="J179" t="s">
        <v>13</v>
      </c>
      <c r="K179" s="54">
        <v>60</v>
      </c>
      <c r="L179" s="45" t="s">
        <v>94</v>
      </c>
      <c r="M179" s="60">
        <v>300.5</v>
      </c>
      <c r="N179" s="4">
        <f>M179/1.12</f>
        <v>268.30357142857139</v>
      </c>
      <c r="O179" s="4">
        <f t="shared" si="9"/>
        <v>18030</v>
      </c>
      <c r="P179" s="47">
        <f t="shared" si="18"/>
        <v>16098.214285714283</v>
      </c>
      <c r="Q179" s="47">
        <f t="shared" si="10"/>
        <v>1931.7857142857174</v>
      </c>
    </row>
    <row r="180" spans="1:18" x14ac:dyDescent="0.35">
      <c r="A180">
        <v>152</v>
      </c>
      <c r="E180" s="1">
        <v>5315</v>
      </c>
      <c r="F180" s="7"/>
      <c r="G180" s="7">
        <v>5515</v>
      </c>
      <c r="H180" s="44">
        <v>250411</v>
      </c>
      <c r="I180" s="1" t="s">
        <v>93</v>
      </c>
      <c r="J180" t="s">
        <v>14</v>
      </c>
      <c r="K180" s="54">
        <v>60</v>
      </c>
      <c r="L180" s="45" t="s">
        <v>94</v>
      </c>
      <c r="M180" s="60">
        <v>288.5</v>
      </c>
      <c r="N180" s="4">
        <f>M180/1.12</f>
        <v>257.58928571428567</v>
      </c>
      <c r="O180" s="4">
        <f t="shared" si="9"/>
        <v>17310</v>
      </c>
      <c r="P180" s="47">
        <f t="shared" si="18"/>
        <v>15455.357142857139</v>
      </c>
      <c r="Q180" s="47">
        <f t="shared" si="10"/>
        <v>1854.6428571428605</v>
      </c>
    </row>
    <row r="181" spans="1:18" x14ac:dyDescent="0.35">
      <c r="A181">
        <v>153</v>
      </c>
      <c r="E181" s="1">
        <v>5315</v>
      </c>
      <c r="F181" s="7"/>
      <c r="G181" s="7">
        <v>5515</v>
      </c>
      <c r="H181" s="44">
        <v>250411</v>
      </c>
      <c r="I181" s="1" t="s">
        <v>93</v>
      </c>
      <c r="J181" t="s">
        <v>57</v>
      </c>
      <c r="K181" s="54">
        <v>50</v>
      </c>
      <c r="L181" s="45" t="s">
        <v>94</v>
      </c>
      <c r="M181" s="60">
        <v>304.75</v>
      </c>
      <c r="N181" s="4">
        <f>M181/1.12</f>
        <v>272.09821428571428</v>
      </c>
      <c r="O181" s="4">
        <f t="shared" si="9"/>
        <v>15237.5</v>
      </c>
      <c r="P181" s="47">
        <f t="shared" si="18"/>
        <v>13604.910714285714</v>
      </c>
      <c r="Q181" s="47">
        <f t="shared" si="10"/>
        <v>1632.5892857142862</v>
      </c>
    </row>
    <row r="182" spans="1:18" x14ac:dyDescent="0.35">
      <c r="A182">
        <v>154</v>
      </c>
      <c r="E182" s="1">
        <v>5316</v>
      </c>
      <c r="F182" s="7">
        <v>30</v>
      </c>
      <c r="G182" s="7">
        <v>5516</v>
      </c>
      <c r="H182" s="44">
        <v>250416</v>
      </c>
      <c r="I182" s="1" t="s">
        <v>58</v>
      </c>
      <c r="J182" s="53" t="s">
        <v>10</v>
      </c>
      <c r="K182" s="54">
        <v>535</v>
      </c>
      <c r="L182" s="53" t="s">
        <v>59</v>
      </c>
      <c r="M182" s="60">
        <v>710</v>
      </c>
      <c r="N182" s="4">
        <f>M182/1.12</f>
        <v>633.92857142857133</v>
      </c>
      <c r="O182" s="4">
        <f t="shared" si="9"/>
        <v>379850</v>
      </c>
      <c r="P182" s="47">
        <f t="shared" si="18"/>
        <v>339151.78571428568</v>
      </c>
      <c r="Q182" s="47">
        <f t="shared" si="10"/>
        <v>40698.214285714319</v>
      </c>
    </row>
    <row r="183" spans="1:18" x14ac:dyDescent="0.35">
      <c r="A183">
        <v>155</v>
      </c>
      <c r="E183" s="1">
        <v>5317</v>
      </c>
      <c r="F183" s="7">
        <v>30</v>
      </c>
      <c r="G183" s="7">
        <v>5517</v>
      </c>
      <c r="H183" s="44">
        <v>250416</v>
      </c>
      <c r="I183" s="1" t="s">
        <v>58</v>
      </c>
      <c r="J183" s="53" t="s">
        <v>18</v>
      </c>
      <c r="K183" s="54">
        <v>60</v>
      </c>
      <c r="L183" s="53" t="s">
        <v>59</v>
      </c>
      <c r="M183" s="60">
        <v>1765</v>
      </c>
      <c r="N183" s="4">
        <f>M183/1.12</f>
        <v>1575.8928571428569</v>
      </c>
      <c r="O183" s="4">
        <f t="shared" si="9"/>
        <v>105900</v>
      </c>
      <c r="P183" s="47">
        <f t="shared" si="18"/>
        <v>94553.57142857142</v>
      </c>
      <c r="Q183" s="47">
        <f t="shared" si="10"/>
        <v>11346.42857142858</v>
      </c>
    </row>
    <row r="184" spans="1:18" x14ac:dyDescent="0.35">
      <c r="A184">
        <v>156</v>
      </c>
      <c r="E184" s="1">
        <v>5318</v>
      </c>
      <c r="F184" s="7">
        <v>30</v>
      </c>
      <c r="G184" s="7">
        <v>5518</v>
      </c>
      <c r="H184" s="44">
        <v>250424</v>
      </c>
      <c r="I184" s="1" t="s">
        <v>81</v>
      </c>
      <c r="J184" t="s">
        <v>13</v>
      </c>
      <c r="K184" s="54">
        <v>9</v>
      </c>
      <c r="L184" s="53" t="s">
        <v>74</v>
      </c>
      <c r="M184" s="60">
        <v>7020.72</v>
      </c>
      <c r="N184" s="4">
        <f>M184/1.12</f>
        <v>6268.5</v>
      </c>
      <c r="O184" s="4">
        <f t="shared" si="9"/>
        <v>63186.48</v>
      </c>
      <c r="P184" s="47">
        <f t="shared" si="18"/>
        <v>56416.5</v>
      </c>
      <c r="Q184" s="47">
        <f t="shared" si="10"/>
        <v>6769.9800000000032</v>
      </c>
    </row>
    <row r="185" spans="1:18" x14ac:dyDescent="0.35">
      <c r="A185">
        <v>157</v>
      </c>
      <c r="E185" s="1">
        <v>5318</v>
      </c>
      <c r="F185" s="7">
        <v>30</v>
      </c>
      <c r="G185" s="7">
        <v>5518</v>
      </c>
      <c r="H185" s="44">
        <v>250424</v>
      </c>
      <c r="I185" s="1" t="s">
        <v>81</v>
      </c>
      <c r="J185" t="s">
        <v>14</v>
      </c>
      <c r="K185" s="54">
        <v>6</v>
      </c>
      <c r="L185" s="53" t="s">
        <v>74</v>
      </c>
      <c r="M185" s="60">
        <v>6667.92</v>
      </c>
      <c r="N185" s="4">
        <f>M185/1.12</f>
        <v>5953.4999999999991</v>
      </c>
      <c r="O185" s="4">
        <f t="shared" si="9"/>
        <v>40007.520000000004</v>
      </c>
      <c r="P185" s="47">
        <f t="shared" si="18"/>
        <v>35720.999999999993</v>
      </c>
      <c r="Q185" s="47">
        <f t="shared" si="10"/>
        <v>4286.5200000000114</v>
      </c>
    </row>
    <row r="186" spans="1:18" x14ac:dyDescent="0.35">
      <c r="A186">
        <v>158</v>
      </c>
      <c r="E186" s="1">
        <v>5318</v>
      </c>
      <c r="F186" s="7">
        <v>30</v>
      </c>
      <c r="G186" s="7">
        <v>5518</v>
      </c>
      <c r="H186" s="44">
        <v>250424</v>
      </c>
      <c r="I186" s="1" t="s">
        <v>81</v>
      </c>
      <c r="J186" t="s">
        <v>57</v>
      </c>
      <c r="K186" s="54">
        <v>2</v>
      </c>
      <c r="L186" s="53" t="s">
        <v>74</v>
      </c>
      <c r="M186" s="60">
        <v>6000</v>
      </c>
      <c r="N186" s="4">
        <f>M186/1.12</f>
        <v>5357.1428571428569</v>
      </c>
      <c r="O186" s="4">
        <f t="shared" si="9"/>
        <v>12000</v>
      </c>
      <c r="P186" s="47">
        <f t="shared" si="18"/>
        <v>10714.285714285714</v>
      </c>
      <c r="Q186" s="47">
        <f t="shared" si="10"/>
        <v>1285.7142857142862</v>
      </c>
    </row>
    <row r="187" spans="1:18" x14ac:dyDescent="0.35">
      <c r="A187">
        <v>159</v>
      </c>
      <c r="E187" s="1">
        <v>5305</v>
      </c>
      <c r="F187" s="7">
        <v>30</v>
      </c>
      <c r="G187" s="7">
        <v>5519</v>
      </c>
      <c r="H187" s="44">
        <v>250402</v>
      </c>
      <c r="I187" s="1" t="s">
        <v>109</v>
      </c>
      <c r="J187" s="53" t="s">
        <v>68</v>
      </c>
      <c r="K187" s="54">
        <v>1</v>
      </c>
      <c r="L187" s="53" t="s">
        <v>110</v>
      </c>
      <c r="M187" s="60">
        <v>323680</v>
      </c>
      <c r="N187" s="4">
        <f>M187/1.12</f>
        <v>289000</v>
      </c>
      <c r="O187" s="4">
        <f t="shared" si="9"/>
        <v>323680</v>
      </c>
      <c r="P187" s="47">
        <f>M187</f>
        <v>323680</v>
      </c>
      <c r="Q187" s="47">
        <f t="shared" si="10"/>
        <v>0</v>
      </c>
    </row>
    <row r="188" spans="1:18" x14ac:dyDescent="0.35">
      <c r="A188">
        <v>160</v>
      </c>
      <c r="E188" s="1">
        <v>5305</v>
      </c>
      <c r="F188" s="7">
        <v>30</v>
      </c>
      <c r="G188" s="7">
        <v>5519</v>
      </c>
      <c r="H188" s="44">
        <v>250402</v>
      </c>
      <c r="I188" s="1" t="s">
        <v>109</v>
      </c>
      <c r="J188" t="s">
        <v>13</v>
      </c>
      <c r="K188" s="54">
        <v>6</v>
      </c>
      <c r="L188" s="53" t="s">
        <v>74</v>
      </c>
      <c r="M188" s="57">
        <f>234.02*30</f>
        <v>7020.6</v>
      </c>
      <c r="N188" s="4">
        <f>M188/1.12</f>
        <v>6268.3928571428569</v>
      </c>
      <c r="O188" s="4">
        <f t="shared" si="9"/>
        <v>42123.600000000006</v>
      </c>
      <c r="P188" s="47">
        <f t="shared" ref="P188:P190" si="20">K188*N188</f>
        <v>37610.357142857145</v>
      </c>
      <c r="Q188" s="47">
        <f t="shared" si="10"/>
        <v>4513.2428571428609</v>
      </c>
    </row>
    <row r="189" spans="1:18" x14ac:dyDescent="0.35">
      <c r="A189">
        <v>161</v>
      </c>
      <c r="E189" s="1">
        <v>5305</v>
      </c>
      <c r="F189" s="7">
        <v>30</v>
      </c>
      <c r="G189" s="7">
        <v>5519</v>
      </c>
      <c r="H189" s="44">
        <v>250402</v>
      </c>
      <c r="I189" s="1" t="s">
        <v>109</v>
      </c>
      <c r="J189" t="s">
        <v>14</v>
      </c>
      <c r="K189" s="54">
        <v>6</v>
      </c>
      <c r="L189" s="53" t="s">
        <v>74</v>
      </c>
      <c r="M189" s="57">
        <f>222.26*30</f>
        <v>6667.7999999999993</v>
      </c>
      <c r="N189" s="4">
        <f>M189/1.12</f>
        <v>5953.392857142856</v>
      </c>
      <c r="O189" s="4">
        <f t="shared" si="9"/>
        <v>40006.799999999996</v>
      </c>
      <c r="P189" s="47">
        <f t="shared" si="20"/>
        <v>35720.357142857138</v>
      </c>
      <c r="Q189" s="47">
        <f t="shared" si="10"/>
        <v>4286.442857142858</v>
      </c>
    </row>
    <row r="190" spans="1:18" x14ac:dyDescent="0.35">
      <c r="A190">
        <v>162</v>
      </c>
      <c r="E190" s="1">
        <v>5305</v>
      </c>
      <c r="F190" s="7">
        <v>30</v>
      </c>
      <c r="G190" s="7">
        <v>5519</v>
      </c>
      <c r="H190" s="44">
        <v>250402</v>
      </c>
      <c r="I190" s="1" t="s">
        <v>109</v>
      </c>
      <c r="J190" t="s">
        <v>57</v>
      </c>
      <c r="K190" s="54">
        <v>16</v>
      </c>
      <c r="L190" s="53" t="s">
        <v>74</v>
      </c>
      <c r="M190" s="57">
        <v>6000</v>
      </c>
      <c r="N190" s="4">
        <f>M190/1.12</f>
        <v>5357.1428571428569</v>
      </c>
      <c r="O190" s="4">
        <f t="shared" si="9"/>
        <v>96000</v>
      </c>
      <c r="P190" s="47">
        <f t="shared" si="20"/>
        <v>85714.28571428571</v>
      </c>
      <c r="Q190" s="47">
        <f t="shared" si="10"/>
        <v>10285.71428571429</v>
      </c>
    </row>
    <row r="191" spans="1:18" x14ac:dyDescent="0.35">
      <c r="A191">
        <v>163</v>
      </c>
      <c r="E191" s="1">
        <v>5319</v>
      </c>
      <c r="F191" s="7">
        <v>30</v>
      </c>
      <c r="G191" s="7">
        <v>5520</v>
      </c>
      <c r="H191" s="44">
        <v>250424</v>
      </c>
      <c r="I191" s="1" t="s">
        <v>109</v>
      </c>
      <c r="J191" s="53" t="s">
        <v>68</v>
      </c>
      <c r="K191" s="54">
        <v>1</v>
      </c>
      <c r="L191" s="53" t="s">
        <v>110</v>
      </c>
      <c r="M191" s="60">
        <v>323680</v>
      </c>
      <c r="N191" s="4">
        <f>M191/1.12</f>
        <v>289000</v>
      </c>
      <c r="O191" s="4">
        <f t="shared" si="9"/>
        <v>323680</v>
      </c>
      <c r="P191" s="47">
        <f>M191</f>
        <v>323680</v>
      </c>
      <c r="Q191" s="47">
        <f t="shared" si="10"/>
        <v>0</v>
      </c>
    </row>
    <row r="192" spans="1:18" x14ac:dyDescent="0.35">
      <c r="A192">
        <v>164</v>
      </c>
      <c r="E192" s="1">
        <v>5319</v>
      </c>
      <c r="F192" s="7">
        <v>30</v>
      </c>
      <c r="G192" s="7">
        <v>5520</v>
      </c>
      <c r="H192" s="44">
        <v>250424</v>
      </c>
      <c r="I192" s="1" t="s">
        <v>109</v>
      </c>
      <c r="J192" t="s">
        <v>13</v>
      </c>
      <c r="K192" s="54">
        <v>7</v>
      </c>
      <c r="L192" s="53" t="s">
        <v>74</v>
      </c>
      <c r="M192" s="57">
        <f>234.02*30</f>
        <v>7020.6</v>
      </c>
      <c r="N192" s="4">
        <f>M192/1.12</f>
        <v>6268.3928571428569</v>
      </c>
      <c r="O192" s="4">
        <f t="shared" si="9"/>
        <v>49144.200000000004</v>
      </c>
      <c r="P192" s="47">
        <f t="shared" si="18"/>
        <v>43878.75</v>
      </c>
      <c r="Q192" s="47">
        <f t="shared" si="10"/>
        <v>5265.4500000000044</v>
      </c>
    </row>
    <row r="193" spans="1:18" x14ac:dyDescent="0.35">
      <c r="A193">
        <v>165</v>
      </c>
      <c r="E193" s="1">
        <v>5319</v>
      </c>
      <c r="F193" s="7">
        <v>30</v>
      </c>
      <c r="G193" s="7">
        <v>5520</v>
      </c>
      <c r="H193" s="44">
        <v>250424</v>
      </c>
      <c r="I193" s="1" t="s">
        <v>109</v>
      </c>
      <c r="J193" t="s">
        <v>14</v>
      </c>
      <c r="K193" s="54">
        <v>7</v>
      </c>
      <c r="L193" s="53" t="s">
        <v>74</v>
      </c>
      <c r="M193" s="57">
        <f>222.26*30</f>
        <v>6667.7999999999993</v>
      </c>
      <c r="N193" s="4">
        <f>M193/1.12</f>
        <v>5953.392857142856</v>
      </c>
      <c r="O193" s="4">
        <f t="shared" si="9"/>
        <v>46674.599999999991</v>
      </c>
      <c r="P193" s="47">
        <f t="shared" si="18"/>
        <v>41673.749999999993</v>
      </c>
      <c r="Q193" s="47">
        <f t="shared" si="10"/>
        <v>5000.8499999999985</v>
      </c>
    </row>
    <row r="194" spans="1:18" x14ac:dyDescent="0.35">
      <c r="A194">
        <v>166</v>
      </c>
      <c r="E194" s="1">
        <v>5319</v>
      </c>
      <c r="F194" s="7">
        <v>30</v>
      </c>
      <c r="G194" s="7">
        <v>5520</v>
      </c>
      <c r="H194" s="44">
        <v>250424</v>
      </c>
      <c r="I194" s="1" t="s">
        <v>109</v>
      </c>
      <c r="J194" t="s">
        <v>57</v>
      </c>
      <c r="K194" s="54">
        <v>18</v>
      </c>
      <c r="L194" s="53" t="s">
        <v>74</v>
      </c>
      <c r="M194" s="57">
        <v>6000</v>
      </c>
      <c r="N194" s="4">
        <f>M194/1.12</f>
        <v>5357.1428571428569</v>
      </c>
      <c r="O194" s="4">
        <f t="shared" si="9"/>
        <v>108000</v>
      </c>
      <c r="P194" s="47">
        <f t="shared" si="18"/>
        <v>96428.57142857142</v>
      </c>
      <c r="Q194" s="47">
        <f t="shared" si="10"/>
        <v>11571.42857142858</v>
      </c>
    </row>
    <row r="195" spans="1:18" x14ac:dyDescent="0.35">
      <c r="A195">
        <v>167</v>
      </c>
      <c r="E195" s="1">
        <v>5321</v>
      </c>
      <c r="F195" s="7">
        <v>60</v>
      </c>
      <c r="G195" s="7">
        <v>5521</v>
      </c>
      <c r="H195" s="44">
        <v>250425</v>
      </c>
      <c r="I195" s="1" t="s">
        <v>62</v>
      </c>
      <c r="J195" t="s">
        <v>13</v>
      </c>
      <c r="K195" s="54">
        <v>210</v>
      </c>
      <c r="L195" s="53" t="s">
        <v>94</v>
      </c>
      <c r="M195" s="60">
        <v>358.4</v>
      </c>
      <c r="N195" s="4">
        <f>M195/1.12</f>
        <v>319.99999999999994</v>
      </c>
      <c r="O195" s="4">
        <f t="shared" si="9"/>
        <v>75264</v>
      </c>
      <c r="P195" s="47">
        <f t="shared" si="18"/>
        <v>67199.999999999985</v>
      </c>
      <c r="Q195" s="47">
        <f t="shared" si="10"/>
        <v>8064.0000000000146</v>
      </c>
    </row>
    <row r="196" spans="1:18" x14ac:dyDescent="0.35">
      <c r="A196">
        <v>168</v>
      </c>
      <c r="E196" s="1">
        <v>5322</v>
      </c>
      <c r="F196" s="7">
        <v>60</v>
      </c>
      <c r="G196" s="7">
        <v>5521</v>
      </c>
      <c r="H196" s="44">
        <v>250425</v>
      </c>
      <c r="I196" s="1" t="s">
        <v>62</v>
      </c>
      <c r="J196" t="s">
        <v>14</v>
      </c>
      <c r="K196" s="54">
        <v>240</v>
      </c>
      <c r="L196" s="53" t="s">
        <v>94</v>
      </c>
      <c r="M196" s="60">
        <v>353.92</v>
      </c>
      <c r="N196" s="4">
        <f>M196/1.12</f>
        <v>316</v>
      </c>
      <c r="O196" s="4">
        <f t="shared" si="9"/>
        <v>84940.800000000003</v>
      </c>
      <c r="P196" s="47">
        <f t="shared" si="18"/>
        <v>75840</v>
      </c>
      <c r="Q196" s="47">
        <f t="shared" si="10"/>
        <v>9100.8000000000029</v>
      </c>
    </row>
    <row r="197" spans="1:18" x14ac:dyDescent="0.35">
      <c r="A197">
        <v>169</v>
      </c>
      <c r="E197" s="1">
        <v>5323</v>
      </c>
      <c r="F197" s="7">
        <v>60</v>
      </c>
      <c r="G197" s="7">
        <v>5521</v>
      </c>
      <c r="H197" s="44">
        <v>250425</v>
      </c>
      <c r="I197" s="1" t="s">
        <v>62</v>
      </c>
      <c r="J197" t="s">
        <v>8</v>
      </c>
      <c r="K197" s="54">
        <v>325</v>
      </c>
      <c r="L197" s="53" t="s">
        <v>94</v>
      </c>
      <c r="M197" s="60">
        <v>364</v>
      </c>
      <c r="N197" s="4">
        <f>M197/1.12</f>
        <v>324.99999999999994</v>
      </c>
      <c r="O197" s="4">
        <f t="shared" si="9"/>
        <v>118300</v>
      </c>
      <c r="P197" s="47">
        <f t="shared" si="18"/>
        <v>105624.99999999999</v>
      </c>
      <c r="Q197" s="47">
        <f t="shared" si="10"/>
        <v>12675.000000000015</v>
      </c>
      <c r="R197" s="19"/>
    </row>
    <row r="198" spans="1:18" x14ac:dyDescent="0.35">
      <c r="A198">
        <v>170</v>
      </c>
      <c r="E198" s="1">
        <v>5324</v>
      </c>
      <c r="F198" s="7">
        <v>60</v>
      </c>
      <c r="G198" s="7">
        <v>5521</v>
      </c>
      <c r="H198" s="44">
        <v>250425</v>
      </c>
      <c r="I198" s="1" t="s">
        <v>62</v>
      </c>
      <c r="J198" s="53" t="s">
        <v>65</v>
      </c>
      <c r="K198" s="54">
        <v>200</v>
      </c>
      <c r="L198" s="53" t="s">
        <v>94</v>
      </c>
      <c r="M198" s="60">
        <v>20.38</v>
      </c>
      <c r="N198" s="4">
        <f>M198/1.12</f>
        <v>18.196428571428569</v>
      </c>
      <c r="O198" s="4">
        <f t="shared" si="9"/>
        <v>4076</v>
      </c>
      <c r="P198" s="47">
        <f t="shared" si="18"/>
        <v>3639.2857142857138</v>
      </c>
      <c r="Q198" s="47">
        <f t="shared" si="10"/>
        <v>436.71428571428623</v>
      </c>
      <c r="R198" s="19"/>
    </row>
    <row r="199" spans="1:18" x14ac:dyDescent="0.35">
      <c r="A199">
        <v>171</v>
      </c>
      <c r="E199" s="1">
        <v>5325</v>
      </c>
      <c r="F199" s="7">
        <v>60</v>
      </c>
      <c r="G199" s="7">
        <v>5522</v>
      </c>
      <c r="H199" s="44">
        <v>250428</v>
      </c>
      <c r="I199" s="1" t="s">
        <v>61</v>
      </c>
      <c r="J199" s="53" t="s">
        <v>10</v>
      </c>
      <c r="K199" s="54">
        <v>170</v>
      </c>
      <c r="L199" s="53" t="s">
        <v>59</v>
      </c>
      <c r="M199" s="6">
        <v>710</v>
      </c>
      <c r="N199" s="4">
        <f>M199/1.12</f>
        <v>633.92857142857133</v>
      </c>
      <c r="O199" s="4">
        <f t="shared" si="9"/>
        <v>120700</v>
      </c>
      <c r="P199" s="47">
        <f t="shared" si="18"/>
        <v>107767.85714285713</v>
      </c>
      <c r="Q199" s="47">
        <f t="shared" si="10"/>
        <v>12932.14285714287</v>
      </c>
      <c r="R199" s="19"/>
    </row>
    <row r="200" spans="1:18" x14ac:dyDescent="0.35">
      <c r="A200">
        <v>172</v>
      </c>
      <c r="E200" s="1">
        <v>5325</v>
      </c>
      <c r="F200" s="7">
        <v>60</v>
      </c>
      <c r="G200" s="7">
        <v>5522</v>
      </c>
      <c r="H200" s="44">
        <v>250428</v>
      </c>
      <c r="I200" s="1" t="s">
        <v>61</v>
      </c>
      <c r="J200" s="53" t="s">
        <v>18</v>
      </c>
      <c r="K200" s="54">
        <v>100</v>
      </c>
      <c r="L200" s="53" t="s">
        <v>59</v>
      </c>
      <c r="M200" s="60">
        <v>1700</v>
      </c>
      <c r="N200" s="4">
        <f>M200/1.12</f>
        <v>1517.8571428571427</v>
      </c>
      <c r="O200" s="4">
        <f t="shared" ref="O200:O263" si="21">M200*K200</f>
        <v>170000</v>
      </c>
      <c r="P200" s="47">
        <f t="shared" si="18"/>
        <v>151785.71428571426</v>
      </c>
      <c r="Q200" s="47">
        <f t="shared" si="10"/>
        <v>18214.285714285739</v>
      </c>
    </row>
    <row r="201" spans="1:18" x14ac:dyDescent="0.35">
      <c r="A201">
        <v>173</v>
      </c>
      <c r="E201" s="1">
        <v>5326</v>
      </c>
      <c r="F201" s="7"/>
      <c r="G201" s="7">
        <v>5523</v>
      </c>
      <c r="H201" s="44">
        <v>250425</v>
      </c>
      <c r="I201" s="1" t="s">
        <v>93</v>
      </c>
      <c r="J201" s="53" t="s">
        <v>30</v>
      </c>
      <c r="K201" s="54">
        <v>20</v>
      </c>
      <c r="L201" s="53" t="s">
        <v>94</v>
      </c>
      <c r="M201" s="60">
        <v>294</v>
      </c>
      <c r="N201" s="4">
        <f>M201/1.12</f>
        <v>262.5</v>
      </c>
      <c r="O201" s="4">
        <f t="shared" si="21"/>
        <v>5880</v>
      </c>
      <c r="P201" s="47">
        <f t="shared" si="18"/>
        <v>5250</v>
      </c>
      <c r="Q201" s="47">
        <f t="shared" si="10"/>
        <v>630</v>
      </c>
    </row>
    <row r="202" spans="1:18" x14ac:dyDescent="0.35">
      <c r="A202">
        <v>174</v>
      </c>
      <c r="E202" s="1">
        <v>5326</v>
      </c>
      <c r="F202" s="7"/>
      <c r="G202" s="7">
        <v>5523</v>
      </c>
      <c r="H202" s="44">
        <v>250425</v>
      </c>
      <c r="I202" s="1" t="s">
        <v>93</v>
      </c>
      <c r="J202" s="53" t="s">
        <v>25</v>
      </c>
      <c r="K202" s="54">
        <v>25</v>
      </c>
      <c r="L202" s="53" t="s">
        <v>94</v>
      </c>
      <c r="M202" s="60">
        <v>168</v>
      </c>
      <c r="N202" s="4">
        <f>M202/1.12</f>
        <v>149.99999999999997</v>
      </c>
      <c r="O202" s="4">
        <f t="shared" si="21"/>
        <v>4200</v>
      </c>
      <c r="P202" s="47">
        <f t="shared" si="18"/>
        <v>3749.9999999999991</v>
      </c>
      <c r="Q202" s="47">
        <f t="shared" si="10"/>
        <v>450.00000000000091</v>
      </c>
    </row>
    <row r="203" spans="1:18" x14ac:dyDescent="0.35">
      <c r="A203">
        <v>175</v>
      </c>
      <c r="E203" s="1">
        <v>5327</v>
      </c>
      <c r="F203" s="7">
        <v>30</v>
      </c>
      <c r="G203" s="7">
        <v>5524</v>
      </c>
      <c r="H203" s="44">
        <v>250428</v>
      </c>
      <c r="I203" s="1" t="s">
        <v>101</v>
      </c>
      <c r="J203" s="53" t="s">
        <v>10</v>
      </c>
      <c r="K203" s="54">
        <v>12</v>
      </c>
      <c r="L203" s="53" t="s">
        <v>59</v>
      </c>
      <c r="M203" s="60">
        <v>710</v>
      </c>
      <c r="N203" s="4">
        <f>M203/1.12</f>
        <v>633.92857142857133</v>
      </c>
      <c r="O203" s="4">
        <f t="shared" si="21"/>
        <v>8520</v>
      </c>
      <c r="P203" s="47">
        <f t="shared" si="18"/>
        <v>7607.142857142856</v>
      </c>
      <c r="Q203" s="47">
        <f t="shared" si="10"/>
        <v>912.85714285714403</v>
      </c>
    </row>
    <row r="204" spans="1:18" x14ac:dyDescent="0.35">
      <c r="A204">
        <v>176</v>
      </c>
      <c r="E204" s="1">
        <v>5328</v>
      </c>
      <c r="F204" s="7">
        <v>30</v>
      </c>
      <c r="G204" s="7">
        <v>5525</v>
      </c>
      <c r="H204" s="44">
        <v>250428</v>
      </c>
      <c r="I204" s="1" t="s">
        <v>105</v>
      </c>
      <c r="J204" s="53" t="s">
        <v>22</v>
      </c>
      <c r="K204" s="54">
        <v>6</v>
      </c>
      <c r="L204" s="53" t="s">
        <v>74</v>
      </c>
      <c r="M204" s="60">
        <v>10214.4</v>
      </c>
      <c r="N204" s="4">
        <f>M204/1.12</f>
        <v>9119.9999999999982</v>
      </c>
      <c r="O204" s="4">
        <f t="shared" si="21"/>
        <v>61286.399999999994</v>
      </c>
      <c r="P204" s="47">
        <f t="shared" si="18"/>
        <v>54719.999999999985</v>
      </c>
      <c r="Q204" s="47">
        <f t="shared" ref="Q204:Q259" si="22">O204-P204</f>
        <v>6566.4000000000087</v>
      </c>
    </row>
    <row r="205" spans="1:18" x14ac:dyDescent="0.35">
      <c r="A205">
        <v>177</v>
      </c>
      <c r="E205" s="1">
        <v>5329</v>
      </c>
      <c r="F205" s="7">
        <v>30</v>
      </c>
      <c r="G205" s="7">
        <v>5526</v>
      </c>
      <c r="H205" s="44">
        <v>250428</v>
      </c>
      <c r="I205" s="1" t="s">
        <v>105</v>
      </c>
      <c r="J205" s="53" t="s">
        <v>19</v>
      </c>
      <c r="K205" s="54">
        <v>6</v>
      </c>
      <c r="L205" s="53" t="s">
        <v>74</v>
      </c>
      <c r="M205" s="60">
        <v>20216</v>
      </c>
      <c r="N205" s="4">
        <f>M205/1.12</f>
        <v>18050</v>
      </c>
      <c r="O205" s="4">
        <f t="shared" si="21"/>
        <v>121296</v>
      </c>
      <c r="P205" s="47">
        <f t="shared" si="18"/>
        <v>108300</v>
      </c>
      <c r="Q205" s="47">
        <f t="shared" si="22"/>
        <v>12996</v>
      </c>
    </row>
    <row r="206" spans="1:18" x14ac:dyDescent="0.35">
      <c r="A206">
        <v>178</v>
      </c>
      <c r="E206" s="1">
        <v>5329</v>
      </c>
      <c r="F206" s="7">
        <v>30</v>
      </c>
      <c r="G206" s="7">
        <v>5526</v>
      </c>
      <c r="H206" s="44">
        <v>250428</v>
      </c>
      <c r="I206" s="1" t="s">
        <v>105</v>
      </c>
      <c r="J206" s="53" t="s">
        <v>22</v>
      </c>
      <c r="K206" s="54">
        <v>3</v>
      </c>
      <c r="L206" s="53" t="s">
        <v>74</v>
      </c>
      <c r="M206" s="60">
        <v>10214.4</v>
      </c>
      <c r="N206" s="4">
        <f>M206/1.12</f>
        <v>9119.9999999999982</v>
      </c>
      <c r="O206" s="4">
        <f t="shared" si="21"/>
        <v>30643.199999999997</v>
      </c>
      <c r="P206" s="47">
        <f t="shared" si="18"/>
        <v>27359.999999999993</v>
      </c>
      <c r="Q206" s="47">
        <f t="shared" si="22"/>
        <v>3283.2000000000044</v>
      </c>
    </row>
    <row r="207" spans="1:18" x14ac:dyDescent="0.35">
      <c r="A207">
        <v>179</v>
      </c>
      <c r="E207" s="1">
        <v>5330</v>
      </c>
      <c r="F207" s="7">
        <v>30</v>
      </c>
      <c r="G207" s="7">
        <v>5527</v>
      </c>
      <c r="H207" s="44">
        <v>250429</v>
      </c>
      <c r="I207" s="1" t="s">
        <v>72</v>
      </c>
      <c r="J207" t="s">
        <v>13</v>
      </c>
      <c r="K207" s="54">
        <v>420</v>
      </c>
      <c r="L207" s="53" t="s">
        <v>94</v>
      </c>
      <c r="N207" s="60">
        <v>300.5</v>
      </c>
      <c r="P207" s="4">
        <f>N207*K207</f>
        <v>126210</v>
      </c>
      <c r="Q207" s="47">
        <v>0</v>
      </c>
    </row>
    <row r="208" spans="1:18" x14ac:dyDescent="0.35">
      <c r="A208">
        <v>180</v>
      </c>
      <c r="E208" s="1">
        <v>5330</v>
      </c>
      <c r="F208" s="7">
        <v>30</v>
      </c>
      <c r="G208" s="7">
        <v>5527</v>
      </c>
      <c r="H208" s="44">
        <v>250429</v>
      </c>
      <c r="I208" s="1" t="s">
        <v>72</v>
      </c>
      <c r="J208" t="s">
        <v>14</v>
      </c>
      <c r="K208" s="54">
        <v>300</v>
      </c>
      <c r="L208" s="53" t="s">
        <v>94</v>
      </c>
      <c r="N208" s="60">
        <v>288.5</v>
      </c>
      <c r="P208" s="4">
        <f>N208*K208</f>
        <v>86550</v>
      </c>
      <c r="Q208" s="47">
        <v>0</v>
      </c>
    </row>
    <row r="209" spans="1:18" x14ac:dyDescent="0.35">
      <c r="A209">
        <v>181</v>
      </c>
      <c r="E209" s="1">
        <v>5330</v>
      </c>
      <c r="F209" s="7">
        <v>30</v>
      </c>
      <c r="G209" s="7">
        <v>5527</v>
      </c>
      <c r="H209" s="44">
        <v>250429</v>
      </c>
      <c r="I209" s="1" t="s">
        <v>72</v>
      </c>
      <c r="J209" t="s">
        <v>57</v>
      </c>
      <c r="K209" s="54">
        <v>400</v>
      </c>
      <c r="L209" s="53" t="s">
        <v>94</v>
      </c>
      <c r="N209" s="60">
        <v>304.75</v>
      </c>
      <c r="P209" s="4">
        <f>N209*K209</f>
        <v>121900</v>
      </c>
      <c r="Q209" s="47">
        <v>0</v>
      </c>
    </row>
    <row r="210" spans="1:18" x14ac:dyDescent="0.35">
      <c r="A210">
        <v>182</v>
      </c>
      <c r="E210" s="1">
        <v>5331</v>
      </c>
      <c r="F210" s="7">
        <v>30</v>
      </c>
      <c r="G210" s="7">
        <v>5528</v>
      </c>
      <c r="H210" s="44">
        <v>250429</v>
      </c>
      <c r="I210" s="1" t="s">
        <v>81</v>
      </c>
      <c r="J210" s="53" t="s">
        <v>26</v>
      </c>
      <c r="K210" s="54">
        <v>2</v>
      </c>
      <c r="L210" s="53" t="s">
        <v>74</v>
      </c>
      <c r="M210" s="6">
        <v>10952.48</v>
      </c>
      <c r="N210" s="4">
        <f>M210/1.12</f>
        <v>9778.9999999999982</v>
      </c>
      <c r="O210" s="4">
        <f t="shared" si="21"/>
        <v>21904.959999999999</v>
      </c>
      <c r="P210" s="47">
        <f t="shared" si="18"/>
        <v>19557.999999999996</v>
      </c>
      <c r="Q210" s="47">
        <f t="shared" ref="Q210:Q226" si="23">O210-P210</f>
        <v>2346.9600000000028</v>
      </c>
    </row>
    <row r="211" spans="1:18" x14ac:dyDescent="0.35">
      <c r="A211">
        <v>183</v>
      </c>
      <c r="E211" s="1">
        <v>5332</v>
      </c>
      <c r="F211" s="7">
        <v>30</v>
      </c>
      <c r="G211" s="7">
        <v>5529</v>
      </c>
      <c r="H211" s="44">
        <v>250502</v>
      </c>
      <c r="I211" s="1" t="s">
        <v>58</v>
      </c>
      <c r="J211" s="53" t="s">
        <v>10</v>
      </c>
      <c r="K211" s="54">
        <v>535</v>
      </c>
      <c r="L211" s="53" t="s">
        <v>59</v>
      </c>
      <c r="M211" s="6">
        <v>710</v>
      </c>
      <c r="N211" s="4">
        <f>M211/1.12</f>
        <v>633.92857142857133</v>
      </c>
      <c r="O211" s="4">
        <f t="shared" si="21"/>
        <v>379850</v>
      </c>
      <c r="P211" s="47">
        <f t="shared" si="18"/>
        <v>339151.78571428568</v>
      </c>
      <c r="Q211" s="47">
        <f t="shared" si="23"/>
        <v>40698.214285714319</v>
      </c>
    </row>
    <row r="212" spans="1:18" x14ac:dyDescent="0.35">
      <c r="A212">
        <v>184</v>
      </c>
      <c r="E212" s="1">
        <v>5333</v>
      </c>
      <c r="F212" s="7">
        <v>30</v>
      </c>
      <c r="G212" s="7">
        <v>5530</v>
      </c>
      <c r="H212" s="44">
        <v>250502</v>
      </c>
      <c r="I212" s="1" t="s">
        <v>58</v>
      </c>
      <c r="J212" s="53" t="s">
        <v>10</v>
      </c>
      <c r="K212" s="54">
        <v>250</v>
      </c>
      <c r="L212" s="53" t="s">
        <v>59</v>
      </c>
      <c r="M212" s="6">
        <v>710</v>
      </c>
      <c r="N212" s="4">
        <f>M212/1.12</f>
        <v>633.92857142857133</v>
      </c>
      <c r="O212" s="4">
        <f t="shared" si="21"/>
        <v>177500</v>
      </c>
      <c r="P212" s="47">
        <f t="shared" si="18"/>
        <v>158482.14285714284</v>
      </c>
      <c r="Q212" s="47">
        <f t="shared" si="23"/>
        <v>19017.857142857159</v>
      </c>
    </row>
    <row r="213" spans="1:18" x14ac:dyDescent="0.35">
      <c r="A213">
        <v>185</v>
      </c>
      <c r="E213" s="1">
        <v>5334</v>
      </c>
      <c r="F213" s="7">
        <v>30</v>
      </c>
      <c r="G213" s="7">
        <v>5531</v>
      </c>
      <c r="H213" s="44">
        <v>250502</v>
      </c>
      <c r="I213" s="1" t="s">
        <v>58</v>
      </c>
      <c r="J213" s="53" t="s">
        <v>10</v>
      </c>
      <c r="K213" s="54">
        <v>450</v>
      </c>
      <c r="L213" s="53" t="s">
        <v>59</v>
      </c>
      <c r="M213" s="6">
        <v>710</v>
      </c>
      <c r="N213" s="4">
        <f>M213/1.12</f>
        <v>633.92857142857133</v>
      </c>
      <c r="O213" s="4">
        <f t="shared" si="21"/>
        <v>319500</v>
      </c>
      <c r="P213" s="47">
        <f t="shared" si="18"/>
        <v>285267.8571428571</v>
      </c>
      <c r="Q213" s="47">
        <f t="shared" si="23"/>
        <v>34232.142857142899</v>
      </c>
    </row>
    <row r="214" spans="1:18" x14ac:dyDescent="0.35">
      <c r="A214">
        <v>186</v>
      </c>
      <c r="E214" s="1">
        <v>5306</v>
      </c>
      <c r="F214" s="7">
        <v>30</v>
      </c>
      <c r="G214" s="7">
        <v>5532</v>
      </c>
      <c r="H214" s="44">
        <v>250502</v>
      </c>
      <c r="I214" s="1" t="s">
        <v>86</v>
      </c>
      <c r="J214" s="53" t="s">
        <v>68</v>
      </c>
      <c r="K214" s="54">
        <v>1</v>
      </c>
      <c r="L214" s="53" t="s">
        <v>69</v>
      </c>
      <c r="M214" s="60">
        <v>30000</v>
      </c>
      <c r="N214" s="4">
        <f>M214/1.12</f>
        <v>26785.714285714283</v>
      </c>
      <c r="O214" s="4">
        <f t="shared" si="21"/>
        <v>30000</v>
      </c>
      <c r="P214" s="47">
        <f>M214</f>
        <v>30000</v>
      </c>
      <c r="Q214" s="47">
        <f>O214-P214</f>
        <v>0</v>
      </c>
    </row>
    <row r="215" spans="1:18" x14ac:dyDescent="0.35">
      <c r="A215">
        <v>187</v>
      </c>
      <c r="E215" s="1">
        <v>5306</v>
      </c>
      <c r="F215" s="7">
        <v>30</v>
      </c>
      <c r="G215" s="7">
        <v>5532</v>
      </c>
      <c r="H215" s="44">
        <v>250502</v>
      </c>
      <c r="I215" s="1" t="s">
        <v>86</v>
      </c>
      <c r="J215" t="s">
        <v>13</v>
      </c>
      <c r="K215" s="54">
        <v>1</v>
      </c>
      <c r="L215" s="53" t="s">
        <v>74</v>
      </c>
      <c r="M215" s="57">
        <f>234.02*30</f>
        <v>7020.6</v>
      </c>
      <c r="N215" s="4">
        <f>M215/1.12</f>
        <v>6268.3928571428569</v>
      </c>
      <c r="O215" s="4">
        <f t="shared" si="21"/>
        <v>7020.6</v>
      </c>
      <c r="P215" s="47">
        <f t="shared" si="18"/>
        <v>6268.3928571428569</v>
      </c>
      <c r="Q215" s="47">
        <f t="shared" si="23"/>
        <v>752.20714285714348</v>
      </c>
    </row>
    <row r="216" spans="1:18" x14ac:dyDescent="0.35">
      <c r="A216">
        <v>188</v>
      </c>
      <c r="E216" s="1">
        <v>5306</v>
      </c>
      <c r="F216" s="7">
        <v>30</v>
      </c>
      <c r="G216" s="7">
        <v>5532</v>
      </c>
      <c r="H216" s="44">
        <v>250502</v>
      </c>
      <c r="I216" s="1" t="s">
        <v>86</v>
      </c>
      <c r="J216" t="s">
        <v>14</v>
      </c>
      <c r="K216" s="54">
        <v>1</v>
      </c>
      <c r="L216" s="53" t="s">
        <v>74</v>
      </c>
      <c r="M216" s="57">
        <f>222.26*30</f>
        <v>6667.7999999999993</v>
      </c>
      <c r="N216" s="4">
        <f>M216/1.12</f>
        <v>5953.392857142856</v>
      </c>
      <c r="O216" s="4">
        <f t="shared" si="21"/>
        <v>6667.7999999999993</v>
      </c>
      <c r="P216" s="47">
        <f t="shared" si="18"/>
        <v>5953.392857142856</v>
      </c>
      <c r="Q216" s="47">
        <f t="shared" si="23"/>
        <v>714.4071428571433</v>
      </c>
      <c r="R216" s="19">
        <f>IF(J216="CITREIN 50",K216,0)</f>
        <v>0</v>
      </c>
    </row>
    <row r="217" spans="1:18" x14ac:dyDescent="0.35">
      <c r="A217">
        <v>189</v>
      </c>
      <c r="E217" s="1">
        <v>5320</v>
      </c>
      <c r="F217" s="7">
        <v>30</v>
      </c>
      <c r="G217" s="7">
        <v>5533</v>
      </c>
      <c r="H217" s="44">
        <v>250502</v>
      </c>
      <c r="I217" s="1" t="s">
        <v>86</v>
      </c>
      <c r="J217" s="53" t="s">
        <v>68</v>
      </c>
      <c r="K217" s="54">
        <v>1</v>
      </c>
      <c r="L217" s="53" t="s">
        <v>69</v>
      </c>
      <c r="M217" s="60">
        <v>30000</v>
      </c>
      <c r="N217" s="4">
        <f>M217/1.12</f>
        <v>26785.714285714283</v>
      </c>
      <c r="O217" s="4">
        <f t="shared" si="21"/>
        <v>30000</v>
      </c>
      <c r="P217" s="47">
        <f>M217</f>
        <v>30000</v>
      </c>
      <c r="Q217" s="47">
        <f t="shared" si="23"/>
        <v>0</v>
      </c>
    </row>
    <row r="218" spans="1:18" x14ac:dyDescent="0.35">
      <c r="A218">
        <v>190</v>
      </c>
      <c r="E218" s="1">
        <v>5336</v>
      </c>
      <c r="F218" s="7">
        <v>30</v>
      </c>
      <c r="G218" s="7">
        <v>5534</v>
      </c>
      <c r="H218" s="44">
        <v>250505</v>
      </c>
      <c r="I218" s="1" t="s">
        <v>73</v>
      </c>
      <c r="J218" s="53" t="s">
        <v>26</v>
      </c>
      <c r="K218" s="54">
        <v>6</v>
      </c>
      <c r="L218" s="53" t="s">
        <v>74</v>
      </c>
      <c r="M218" s="60">
        <v>15950</v>
      </c>
      <c r="N218" s="4">
        <f>M218/1.12</f>
        <v>14241.071428571428</v>
      </c>
      <c r="O218" s="4">
        <f t="shared" si="21"/>
        <v>95700</v>
      </c>
      <c r="P218" s="47">
        <f t="shared" si="18"/>
        <v>85446.428571428565</v>
      </c>
      <c r="Q218" s="47">
        <f>O218-P218</f>
        <v>10253.571428571435</v>
      </c>
    </row>
    <row r="219" spans="1:18" x14ac:dyDescent="0.35">
      <c r="A219">
        <v>191</v>
      </c>
      <c r="E219" s="1">
        <v>5336</v>
      </c>
      <c r="F219" s="7">
        <v>30</v>
      </c>
      <c r="G219" s="7">
        <v>5534</v>
      </c>
      <c r="H219" s="44">
        <v>250505</v>
      </c>
      <c r="I219" s="1" t="s">
        <v>73</v>
      </c>
      <c r="J219" s="53" t="s">
        <v>106</v>
      </c>
      <c r="K219" s="54">
        <v>2</v>
      </c>
      <c r="L219" s="53" t="s">
        <v>74</v>
      </c>
      <c r="M219" s="60">
        <v>8347.5</v>
      </c>
      <c r="N219" s="4">
        <f>M219/1.12</f>
        <v>7453.1249999999991</v>
      </c>
      <c r="O219" s="4">
        <f t="shared" si="21"/>
        <v>16695</v>
      </c>
      <c r="P219" s="47">
        <f t="shared" si="18"/>
        <v>14906.249999999998</v>
      </c>
      <c r="Q219" s="47">
        <f t="shared" si="23"/>
        <v>1788.7500000000018</v>
      </c>
    </row>
    <row r="220" spans="1:18" x14ac:dyDescent="0.35">
      <c r="A220">
        <v>192</v>
      </c>
      <c r="E220" s="1">
        <v>5337</v>
      </c>
      <c r="F220" s="7">
        <v>30</v>
      </c>
      <c r="G220" s="7">
        <v>5535</v>
      </c>
      <c r="H220" s="44">
        <v>250507</v>
      </c>
      <c r="I220" s="1" t="s">
        <v>111</v>
      </c>
      <c r="J220" s="53" t="s">
        <v>27</v>
      </c>
      <c r="K220" s="54">
        <v>280</v>
      </c>
      <c r="L220" s="53" t="s">
        <v>94</v>
      </c>
      <c r="M220" s="60">
        <v>217.8</v>
      </c>
      <c r="N220" s="4">
        <f>M220/1.12</f>
        <v>194.46428571428569</v>
      </c>
      <c r="O220" s="4">
        <f t="shared" si="21"/>
        <v>60984</v>
      </c>
      <c r="P220" s="47">
        <f t="shared" si="18"/>
        <v>54449.999999999993</v>
      </c>
      <c r="Q220" s="47">
        <f t="shared" si="23"/>
        <v>6534.0000000000073</v>
      </c>
    </row>
    <row r="221" spans="1:18" x14ac:dyDescent="0.35">
      <c r="A221">
        <v>193</v>
      </c>
      <c r="E221" s="1">
        <v>5338</v>
      </c>
      <c r="F221" s="7"/>
      <c r="G221" s="7">
        <v>5536</v>
      </c>
      <c r="H221" s="44">
        <v>250509</v>
      </c>
      <c r="I221" s="1" t="s">
        <v>109</v>
      </c>
      <c r="J221" s="53" t="s">
        <v>29</v>
      </c>
      <c r="K221" s="54">
        <v>300</v>
      </c>
      <c r="L221" s="53" t="s">
        <v>94</v>
      </c>
      <c r="M221" s="60">
        <v>311.04000000000002</v>
      </c>
      <c r="N221" s="4">
        <f>M221/1.12</f>
        <v>277.71428571428572</v>
      </c>
      <c r="O221" s="4">
        <f t="shared" si="21"/>
        <v>93312</v>
      </c>
      <c r="P221" s="47">
        <f t="shared" ref="P221:P282" si="24">K221*N221</f>
        <v>83314.28571428571</v>
      </c>
      <c r="Q221" s="47">
        <f t="shared" si="23"/>
        <v>9997.7142857142899</v>
      </c>
    </row>
    <row r="222" spans="1:18" x14ac:dyDescent="0.35">
      <c r="A222">
        <v>194</v>
      </c>
      <c r="E222" s="1">
        <v>5339</v>
      </c>
      <c r="F222" s="7">
        <v>60</v>
      </c>
      <c r="G222" s="7">
        <v>5537</v>
      </c>
      <c r="H222" s="44">
        <v>250513</v>
      </c>
      <c r="I222" s="45" t="s">
        <v>62</v>
      </c>
      <c r="J222" t="s">
        <v>13</v>
      </c>
      <c r="K222" s="45">
        <v>270</v>
      </c>
      <c r="L222" s="53" t="s">
        <v>94</v>
      </c>
      <c r="M222" s="47">
        <v>358.4</v>
      </c>
      <c r="N222" s="4">
        <f>M222/1.12</f>
        <v>319.99999999999994</v>
      </c>
      <c r="O222" s="4">
        <f t="shared" si="21"/>
        <v>96768</v>
      </c>
      <c r="P222" s="47">
        <f t="shared" si="24"/>
        <v>86399.999999999985</v>
      </c>
      <c r="Q222" s="47">
        <f t="shared" si="23"/>
        <v>10368.000000000015</v>
      </c>
    </row>
    <row r="223" spans="1:18" x14ac:dyDescent="0.35">
      <c r="A223">
        <v>195</v>
      </c>
      <c r="E223" s="1">
        <v>5340</v>
      </c>
      <c r="F223" s="7">
        <v>60</v>
      </c>
      <c r="G223" s="7">
        <v>5537</v>
      </c>
      <c r="H223" s="44">
        <v>250513</v>
      </c>
      <c r="I223" s="45" t="s">
        <v>62</v>
      </c>
      <c r="J223" t="s">
        <v>14</v>
      </c>
      <c r="K223" s="54">
        <v>300</v>
      </c>
      <c r="L223" s="53" t="s">
        <v>94</v>
      </c>
      <c r="M223" s="60">
        <v>353.92</v>
      </c>
      <c r="N223" s="4">
        <f>M223/1.12</f>
        <v>316</v>
      </c>
      <c r="O223" s="4">
        <f t="shared" si="21"/>
        <v>106176</v>
      </c>
      <c r="P223" s="47">
        <f t="shared" si="24"/>
        <v>94800</v>
      </c>
      <c r="Q223" s="47">
        <f t="shared" si="23"/>
        <v>11376</v>
      </c>
    </row>
    <row r="224" spans="1:18" x14ac:dyDescent="0.35">
      <c r="A224">
        <v>196</v>
      </c>
      <c r="E224" s="1">
        <v>5341</v>
      </c>
      <c r="F224" s="7">
        <v>60</v>
      </c>
      <c r="G224" s="7">
        <v>5537</v>
      </c>
      <c r="H224" s="44">
        <v>250513</v>
      </c>
      <c r="I224" s="45" t="s">
        <v>62</v>
      </c>
      <c r="J224" t="s">
        <v>8</v>
      </c>
      <c r="K224" s="45">
        <v>350</v>
      </c>
      <c r="L224" s="53" t="s">
        <v>94</v>
      </c>
      <c r="M224" s="60">
        <v>364</v>
      </c>
      <c r="N224" s="4">
        <f>M224/1.12</f>
        <v>324.99999999999994</v>
      </c>
      <c r="O224" s="4">
        <f t="shared" si="21"/>
        <v>127400</v>
      </c>
      <c r="P224" s="47">
        <f t="shared" si="24"/>
        <v>113749.99999999999</v>
      </c>
      <c r="Q224" s="47">
        <f t="shared" si="23"/>
        <v>13650.000000000015</v>
      </c>
    </row>
    <row r="225" spans="1:18" x14ac:dyDescent="0.35">
      <c r="A225">
        <v>197</v>
      </c>
      <c r="E225" s="1">
        <v>5342</v>
      </c>
      <c r="F225" s="7">
        <v>60</v>
      </c>
      <c r="G225" s="7">
        <v>5537</v>
      </c>
      <c r="H225" s="44">
        <v>250513</v>
      </c>
      <c r="I225" s="45" t="s">
        <v>62</v>
      </c>
      <c r="J225" s="53" t="s">
        <v>65</v>
      </c>
      <c r="K225" s="54">
        <v>350</v>
      </c>
      <c r="L225" s="53" t="s">
        <v>94</v>
      </c>
      <c r="M225" s="60">
        <v>20.38</v>
      </c>
      <c r="N225" s="4">
        <f>M225/1.12</f>
        <v>18.196428571428569</v>
      </c>
      <c r="O225" s="4">
        <f t="shared" si="21"/>
        <v>7133</v>
      </c>
      <c r="P225" s="47">
        <f t="shared" si="24"/>
        <v>6368.7499999999991</v>
      </c>
      <c r="Q225" s="47">
        <f t="shared" si="23"/>
        <v>764.25000000000091</v>
      </c>
    </row>
    <row r="226" spans="1:18" x14ac:dyDescent="0.35">
      <c r="A226">
        <v>198</v>
      </c>
      <c r="E226" s="1">
        <v>5343</v>
      </c>
      <c r="F226" s="7">
        <v>30</v>
      </c>
      <c r="G226" s="7">
        <v>5538</v>
      </c>
      <c r="H226" s="44">
        <v>250514</v>
      </c>
      <c r="I226" s="1" t="s">
        <v>81</v>
      </c>
      <c r="J226" s="53" t="s">
        <v>25</v>
      </c>
      <c r="K226" s="54">
        <v>4</v>
      </c>
      <c r="L226" s="53" t="s">
        <v>74</v>
      </c>
      <c r="M226" s="60">
        <v>3360</v>
      </c>
      <c r="N226" s="4">
        <f>M226/1.12</f>
        <v>2999.9999999999995</v>
      </c>
      <c r="O226" s="4">
        <f t="shared" si="21"/>
        <v>13440</v>
      </c>
      <c r="P226" s="47">
        <f t="shared" si="24"/>
        <v>11999.999999999998</v>
      </c>
      <c r="Q226" s="47">
        <f t="shared" si="23"/>
        <v>1440.0000000000018</v>
      </c>
    </row>
    <row r="227" spans="1:18" x14ac:dyDescent="0.35">
      <c r="A227">
        <v>199</v>
      </c>
      <c r="E227" s="1">
        <v>5343</v>
      </c>
      <c r="F227" s="7">
        <v>30</v>
      </c>
      <c r="G227" s="7">
        <v>5538</v>
      </c>
      <c r="H227" s="44">
        <v>250514</v>
      </c>
      <c r="I227" s="1" t="s">
        <v>81</v>
      </c>
      <c r="J227" s="53" t="s">
        <v>30</v>
      </c>
      <c r="K227" s="54">
        <v>2</v>
      </c>
      <c r="L227" s="53" t="s">
        <v>74</v>
      </c>
      <c r="M227" s="60">
        <v>5600</v>
      </c>
      <c r="N227" s="4">
        <f>M227/1.12</f>
        <v>4999.9999999999991</v>
      </c>
      <c r="O227" s="4">
        <f t="shared" si="21"/>
        <v>11200</v>
      </c>
      <c r="P227" s="47">
        <f t="shared" si="24"/>
        <v>9999.9999999999982</v>
      </c>
      <c r="Q227" s="47">
        <f t="shared" si="22"/>
        <v>1200.0000000000018</v>
      </c>
    </row>
    <row r="228" spans="1:18" x14ac:dyDescent="0.35">
      <c r="A228">
        <v>200</v>
      </c>
      <c r="E228" s="1">
        <v>5344</v>
      </c>
      <c r="F228" s="7">
        <v>30</v>
      </c>
      <c r="G228" s="7">
        <v>5539</v>
      </c>
      <c r="H228" s="44">
        <v>250515</v>
      </c>
      <c r="I228" s="1" t="s">
        <v>58</v>
      </c>
      <c r="J228" s="53" t="s">
        <v>10</v>
      </c>
      <c r="K228" s="54">
        <v>535</v>
      </c>
      <c r="L228" s="53" t="s">
        <v>59</v>
      </c>
      <c r="M228" s="60">
        <v>710</v>
      </c>
      <c r="N228" s="4">
        <f>M228/1.12</f>
        <v>633.92857142857133</v>
      </c>
      <c r="O228" s="4">
        <f t="shared" si="21"/>
        <v>379850</v>
      </c>
      <c r="P228" s="47">
        <f t="shared" si="24"/>
        <v>339151.78571428568</v>
      </c>
      <c r="Q228" s="47">
        <f t="shared" si="22"/>
        <v>40698.214285714319</v>
      </c>
    </row>
    <row r="229" spans="1:18" x14ac:dyDescent="0.35">
      <c r="A229">
        <v>201</v>
      </c>
      <c r="E229" s="1">
        <v>5345</v>
      </c>
      <c r="F229" s="7">
        <v>30</v>
      </c>
      <c r="G229" s="7">
        <v>5540</v>
      </c>
      <c r="H229" s="44">
        <v>250515</v>
      </c>
      <c r="I229" s="1" t="s">
        <v>58</v>
      </c>
      <c r="J229" s="53" t="s">
        <v>10</v>
      </c>
      <c r="K229" s="54">
        <v>200</v>
      </c>
      <c r="L229" s="53" t="s">
        <v>59</v>
      </c>
      <c r="M229" s="60">
        <v>710</v>
      </c>
      <c r="N229" s="4">
        <f>M229/1.12</f>
        <v>633.92857142857133</v>
      </c>
      <c r="O229" s="4">
        <f t="shared" si="21"/>
        <v>142000</v>
      </c>
      <c r="P229" s="47">
        <f t="shared" si="24"/>
        <v>126785.71428571426</v>
      </c>
      <c r="Q229" s="47">
        <f t="shared" si="22"/>
        <v>15214.285714285739</v>
      </c>
    </row>
    <row r="230" spans="1:18" x14ac:dyDescent="0.35">
      <c r="A230">
        <v>202</v>
      </c>
      <c r="E230" s="1">
        <v>5346</v>
      </c>
      <c r="F230" s="7">
        <v>60</v>
      </c>
      <c r="G230" s="7">
        <v>5541</v>
      </c>
      <c r="H230" s="44">
        <v>250519</v>
      </c>
      <c r="I230" s="1" t="s">
        <v>61</v>
      </c>
      <c r="J230" s="53" t="s">
        <v>10</v>
      </c>
      <c r="K230" s="54">
        <v>200</v>
      </c>
      <c r="L230" s="53" t="s">
        <v>59</v>
      </c>
      <c r="M230" s="60">
        <v>710</v>
      </c>
      <c r="N230" s="4">
        <f>M230/1.12</f>
        <v>633.92857142857133</v>
      </c>
      <c r="O230" s="4">
        <f t="shared" si="21"/>
        <v>142000</v>
      </c>
      <c r="P230" s="47">
        <f t="shared" si="24"/>
        <v>126785.71428571426</v>
      </c>
      <c r="Q230" s="47">
        <f t="shared" si="22"/>
        <v>15214.285714285739</v>
      </c>
    </row>
    <row r="231" spans="1:18" x14ac:dyDescent="0.35">
      <c r="A231">
        <v>203</v>
      </c>
      <c r="E231" s="1">
        <v>5347</v>
      </c>
      <c r="F231" s="7">
        <v>60</v>
      </c>
      <c r="G231" s="7">
        <v>5542</v>
      </c>
      <c r="H231" s="44">
        <v>250519</v>
      </c>
      <c r="I231" s="1" t="s">
        <v>61</v>
      </c>
      <c r="J231" s="53" t="s">
        <v>10</v>
      </c>
      <c r="K231" s="54">
        <v>100</v>
      </c>
      <c r="L231" s="53" t="s">
        <v>59</v>
      </c>
      <c r="M231" s="60">
        <v>710</v>
      </c>
      <c r="N231" s="4">
        <f>M231/1.12</f>
        <v>633.92857142857133</v>
      </c>
      <c r="O231" s="4">
        <f t="shared" si="21"/>
        <v>71000</v>
      </c>
      <c r="P231" s="47">
        <f t="shared" si="24"/>
        <v>63392.85714285713</v>
      </c>
      <c r="Q231" s="47">
        <f t="shared" si="22"/>
        <v>7607.1428571428696</v>
      </c>
    </row>
    <row r="232" spans="1:18" x14ac:dyDescent="0.35">
      <c r="A232">
        <v>204</v>
      </c>
      <c r="E232" s="1">
        <v>5348</v>
      </c>
      <c r="F232" s="7">
        <v>30</v>
      </c>
      <c r="G232" s="7">
        <v>5543</v>
      </c>
      <c r="H232" s="44">
        <v>250520</v>
      </c>
      <c r="I232" s="1" t="s">
        <v>58</v>
      </c>
      <c r="J232" s="53" t="s">
        <v>18</v>
      </c>
      <c r="K232" s="54">
        <v>40</v>
      </c>
      <c r="L232" s="53" t="s">
        <v>59</v>
      </c>
      <c r="M232" s="60">
        <v>1765</v>
      </c>
      <c r="N232" s="4">
        <f>M232/1.12</f>
        <v>1575.8928571428569</v>
      </c>
      <c r="O232" s="4">
        <f t="shared" si="21"/>
        <v>70600</v>
      </c>
      <c r="P232" s="47">
        <f t="shared" si="24"/>
        <v>63035.714285714275</v>
      </c>
      <c r="Q232" s="47">
        <f t="shared" si="22"/>
        <v>7564.2857142857247</v>
      </c>
    </row>
    <row r="233" spans="1:18" x14ac:dyDescent="0.35">
      <c r="A233">
        <v>205</v>
      </c>
      <c r="E233" s="1">
        <v>5349</v>
      </c>
      <c r="F233" s="7">
        <v>30</v>
      </c>
      <c r="G233" s="7">
        <v>5544</v>
      </c>
      <c r="H233" s="44">
        <v>250520</v>
      </c>
      <c r="I233" s="1" t="s">
        <v>58</v>
      </c>
      <c r="J233" s="53" t="s">
        <v>18</v>
      </c>
      <c r="K233" s="54">
        <v>60</v>
      </c>
      <c r="L233" s="53" t="s">
        <v>59</v>
      </c>
      <c r="M233" s="60">
        <v>1765</v>
      </c>
      <c r="N233" s="4">
        <f>M233/1.12</f>
        <v>1575.8928571428569</v>
      </c>
      <c r="O233" s="4">
        <f t="shared" si="21"/>
        <v>105900</v>
      </c>
      <c r="P233" s="47">
        <f t="shared" si="24"/>
        <v>94553.57142857142</v>
      </c>
      <c r="Q233" s="47">
        <f t="shared" si="22"/>
        <v>11346.42857142858</v>
      </c>
    </row>
    <row r="234" spans="1:18" x14ac:dyDescent="0.35">
      <c r="A234">
        <v>206</v>
      </c>
      <c r="E234" s="1">
        <v>5350</v>
      </c>
      <c r="F234" s="7">
        <v>30</v>
      </c>
      <c r="G234" s="7">
        <v>5545</v>
      </c>
      <c r="H234" s="44">
        <v>250520</v>
      </c>
      <c r="I234" s="1" t="s">
        <v>73</v>
      </c>
      <c r="J234" s="53" t="s">
        <v>26</v>
      </c>
      <c r="K234" s="54">
        <v>6</v>
      </c>
      <c r="L234" s="53" t="s">
        <v>74</v>
      </c>
      <c r="M234" s="60">
        <v>15950</v>
      </c>
      <c r="N234" s="4">
        <f>M234/1.12</f>
        <v>14241.071428571428</v>
      </c>
      <c r="O234" s="4">
        <f t="shared" si="21"/>
        <v>95700</v>
      </c>
      <c r="P234" s="47">
        <f t="shared" si="24"/>
        <v>85446.428571428565</v>
      </c>
      <c r="Q234" s="47">
        <f t="shared" si="22"/>
        <v>10253.571428571435</v>
      </c>
    </row>
    <row r="235" spans="1:18" x14ac:dyDescent="0.35">
      <c r="A235">
        <v>207</v>
      </c>
      <c r="E235" s="1">
        <v>5350</v>
      </c>
      <c r="F235" s="7">
        <v>30</v>
      </c>
      <c r="G235" s="7">
        <v>5545</v>
      </c>
      <c r="H235" s="44">
        <v>250522</v>
      </c>
      <c r="I235" s="1" t="s">
        <v>73</v>
      </c>
      <c r="J235" s="53" t="s">
        <v>106</v>
      </c>
      <c r="K235" s="54">
        <v>3</v>
      </c>
      <c r="L235" s="53" t="s">
        <v>74</v>
      </c>
      <c r="M235" s="60">
        <v>8347.5</v>
      </c>
      <c r="N235" s="4">
        <f>M235/1.12</f>
        <v>7453.1249999999991</v>
      </c>
      <c r="O235" s="4">
        <f t="shared" si="21"/>
        <v>25042.5</v>
      </c>
      <c r="P235" s="47">
        <f t="shared" si="24"/>
        <v>22359.374999999996</v>
      </c>
      <c r="Q235" s="47">
        <f t="shared" si="22"/>
        <v>2683.1250000000036</v>
      </c>
    </row>
    <row r="236" spans="1:18" x14ac:dyDescent="0.35">
      <c r="A236">
        <v>208</v>
      </c>
      <c r="E236" s="1">
        <v>5351</v>
      </c>
      <c r="F236" s="7">
        <v>30</v>
      </c>
      <c r="G236" s="7">
        <v>5546</v>
      </c>
      <c r="H236" s="44">
        <v>250523</v>
      </c>
      <c r="I236" s="1" t="s">
        <v>58</v>
      </c>
      <c r="J236" s="53" t="s">
        <v>10</v>
      </c>
      <c r="K236" s="54">
        <v>1070</v>
      </c>
      <c r="L236" s="53" t="s">
        <v>59</v>
      </c>
      <c r="M236" s="60">
        <v>710</v>
      </c>
      <c r="N236" s="4">
        <f>M236/1.12</f>
        <v>633.92857142857133</v>
      </c>
      <c r="O236" s="4">
        <f t="shared" si="21"/>
        <v>759700</v>
      </c>
      <c r="P236" s="47">
        <f t="shared" si="24"/>
        <v>678303.57142857136</v>
      </c>
      <c r="Q236" s="47">
        <f>O236-P236</f>
        <v>81396.428571428638</v>
      </c>
      <c r="R236" s="19"/>
    </row>
    <row r="237" spans="1:18" x14ac:dyDescent="0.35">
      <c r="A237">
        <v>209</v>
      </c>
      <c r="E237" s="1">
        <v>5352</v>
      </c>
      <c r="F237" s="7">
        <v>30</v>
      </c>
      <c r="G237" s="7">
        <v>5547</v>
      </c>
      <c r="H237" s="44">
        <v>250523</v>
      </c>
      <c r="I237" s="1" t="s">
        <v>58</v>
      </c>
      <c r="J237" s="53" t="s">
        <v>18</v>
      </c>
      <c r="K237" s="54">
        <v>70</v>
      </c>
      <c r="L237" s="53" t="s">
        <v>59</v>
      </c>
      <c r="M237" s="60">
        <v>1765</v>
      </c>
      <c r="N237" s="4">
        <f>M237/1.12</f>
        <v>1575.8928571428569</v>
      </c>
      <c r="O237" s="4">
        <f t="shared" si="21"/>
        <v>123550</v>
      </c>
      <c r="P237" s="47">
        <f t="shared" si="24"/>
        <v>110312.49999999999</v>
      </c>
      <c r="Q237" s="47">
        <f t="shared" si="22"/>
        <v>13237.500000000015</v>
      </c>
      <c r="R237" s="19"/>
    </row>
    <row r="238" spans="1:18" x14ac:dyDescent="0.35">
      <c r="A238">
        <v>210</v>
      </c>
      <c r="E238" s="1">
        <v>5353</v>
      </c>
      <c r="F238" s="7">
        <v>30</v>
      </c>
      <c r="G238" s="7">
        <v>5548</v>
      </c>
      <c r="H238" s="44">
        <v>250523</v>
      </c>
      <c r="I238" s="53" t="s">
        <v>101</v>
      </c>
      <c r="J238" s="53" t="s">
        <v>10</v>
      </c>
      <c r="K238" s="54">
        <v>12</v>
      </c>
      <c r="L238" s="53" t="s">
        <v>59</v>
      </c>
      <c r="M238" s="4">
        <v>710</v>
      </c>
      <c r="N238" s="4">
        <f>M238/1.12</f>
        <v>633.92857142857133</v>
      </c>
      <c r="O238" s="4">
        <f t="shared" si="21"/>
        <v>8520</v>
      </c>
      <c r="P238" s="47">
        <f t="shared" si="24"/>
        <v>7607.142857142856</v>
      </c>
      <c r="Q238" s="47">
        <f t="shared" si="22"/>
        <v>912.85714285714403</v>
      </c>
      <c r="R238" s="19"/>
    </row>
    <row r="239" spans="1:18" x14ac:dyDescent="0.35">
      <c r="A239">
        <v>211</v>
      </c>
      <c r="E239" s="1">
        <v>5353</v>
      </c>
      <c r="F239" s="7">
        <v>30</v>
      </c>
      <c r="G239" s="7">
        <v>5548</v>
      </c>
      <c r="H239" s="44">
        <v>250523</v>
      </c>
      <c r="I239" s="53" t="s">
        <v>101</v>
      </c>
      <c r="J239" s="53" t="s">
        <v>18</v>
      </c>
      <c r="K239" s="54">
        <v>12</v>
      </c>
      <c r="L239" s="53" t="s">
        <v>59</v>
      </c>
      <c r="M239" s="4">
        <v>1765</v>
      </c>
      <c r="N239" s="4">
        <f>M239/1.12</f>
        <v>1575.8928571428569</v>
      </c>
      <c r="O239" s="4">
        <f t="shared" si="21"/>
        <v>21180</v>
      </c>
      <c r="P239" s="47">
        <f t="shared" si="24"/>
        <v>18910.714285714283</v>
      </c>
      <c r="Q239" s="47">
        <f t="shared" si="22"/>
        <v>2269.2857142857174</v>
      </c>
      <c r="R239" s="19"/>
    </row>
    <row r="240" spans="1:18" x14ac:dyDescent="0.35">
      <c r="A240">
        <v>212</v>
      </c>
      <c r="E240" s="1">
        <v>5354</v>
      </c>
      <c r="F240" s="7">
        <v>60</v>
      </c>
      <c r="G240" s="7">
        <v>5549</v>
      </c>
      <c r="H240" s="44">
        <v>250526</v>
      </c>
      <c r="I240" s="53" t="s">
        <v>61</v>
      </c>
      <c r="J240" s="53" t="s">
        <v>10</v>
      </c>
      <c r="K240" s="54">
        <v>200</v>
      </c>
      <c r="L240" s="53" t="s">
        <v>59</v>
      </c>
      <c r="M240" s="4">
        <v>710</v>
      </c>
      <c r="N240" s="4">
        <f>M240/1.12</f>
        <v>633.92857142857133</v>
      </c>
      <c r="O240" s="4">
        <f t="shared" si="21"/>
        <v>142000</v>
      </c>
      <c r="P240" s="47">
        <f t="shared" si="24"/>
        <v>126785.71428571426</v>
      </c>
      <c r="Q240" s="47">
        <f t="shared" si="22"/>
        <v>15214.285714285739</v>
      </c>
      <c r="R240" s="19"/>
    </row>
    <row r="241" spans="1:18" x14ac:dyDescent="0.35">
      <c r="A241">
        <v>213</v>
      </c>
      <c r="E241" s="1">
        <v>5354</v>
      </c>
      <c r="F241" s="7">
        <v>60</v>
      </c>
      <c r="G241" s="7">
        <v>5549</v>
      </c>
      <c r="H241" s="44">
        <v>250526</v>
      </c>
      <c r="I241" s="53" t="s">
        <v>61</v>
      </c>
      <c r="J241" s="53" t="s">
        <v>18</v>
      </c>
      <c r="K241" s="54">
        <v>50</v>
      </c>
      <c r="L241" s="53" t="s">
        <v>59</v>
      </c>
      <c r="M241" s="4">
        <v>1700</v>
      </c>
      <c r="N241" s="4">
        <f>M241/1.12</f>
        <v>1517.8571428571427</v>
      </c>
      <c r="O241" s="4">
        <f t="shared" si="21"/>
        <v>85000</v>
      </c>
      <c r="P241" s="47">
        <f t="shared" si="24"/>
        <v>75892.85714285713</v>
      </c>
      <c r="Q241" s="47">
        <f t="shared" si="22"/>
        <v>9107.1428571428696</v>
      </c>
      <c r="R241" s="19"/>
    </row>
    <row r="242" spans="1:18" x14ac:dyDescent="0.35">
      <c r="A242">
        <v>214</v>
      </c>
      <c r="E242" s="1">
        <v>5355</v>
      </c>
      <c r="F242" s="7">
        <v>60</v>
      </c>
      <c r="G242" s="7">
        <v>5550</v>
      </c>
      <c r="H242" s="44">
        <v>250526</v>
      </c>
      <c r="I242" s="53" t="s">
        <v>61</v>
      </c>
      <c r="J242" s="53" t="s">
        <v>18</v>
      </c>
      <c r="K242" s="54">
        <v>100</v>
      </c>
      <c r="L242" s="53" t="s">
        <v>59</v>
      </c>
      <c r="M242" s="4">
        <v>1700</v>
      </c>
      <c r="N242" s="4">
        <f>M242/1.12</f>
        <v>1517.8571428571427</v>
      </c>
      <c r="O242" s="4">
        <f t="shared" si="21"/>
        <v>170000</v>
      </c>
      <c r="P242" s="47">
        <f t="shared" si="24"/>
        <v>151785.71428571426</v>
      </c>
      <c r="Q242" s="47">
        <f t="shared" si="22"/>
        <v>18214.285714285739</v>
      </c>
      <c r="R242" s="19"/>
    </row>
    <row r="243" spans="1:18" x14ac:dyDescent="0.35">
      <c r="A243">
        <v>215</v>
      </c>
      <c r="E243" s="1">
        <v>5356</v>
      </c>
      <c r="F243" s="7">
        <v>30</v>
      </c>
      <c r="G243" s="7">
        <v>5551</v>
      </c>
      <c r="H243" s="44">
        <v>250527</v>
      </c>
      <c r="I243" s="53" t="s">
        <v>108</v>
      </c>
      <c r="J243" s="67" t="s">
        <v>14</v>
      </c>
      <c r="K243" s="54">
        <v>120</v>
      </c>
      <c r="L243" s="45" t="s">
        <v>94</v>
      </c>
      <c r="M243" s="4">
        <v>290.3</v>
      </c>
      <c r="N243" s="4">
        <f>M243/1.12</f>
        <v>259.19642857142856</v>
      </c>
      <c r="O243" s="4">
        <f t="shared" si="21"/>
        <v>34836</v>
      </c>
      <c r="P243" s="47">
        <f t="shared" si="24"/>
        <v>31103.571428571428</v>
      </c>
      <c r="Q243" s="47">
        <f t="shared" si="22"/>
        <v>3732.4285714285725</v>
      </c>
      <c r="R243" s="19"/>
    </row>
    <row r="244" spans="1:18" x14ac:dyDescent="0.35">
      <c r="A244">
        <v>216</v>
      </c>
      <c r="E244" s="1">
        <v>5357</v>
      </c>
      <c r="F244" s="7">
        <v>30</v>
      </c>
      <c r="G244" s="7">
        <v>5552</v>
      </c>
      <c r="H244" s="44">
        <v>250527</v>
      </c>
      <c r="I244" s="53" t="s">
        <v>81</v>
      </c>
      <c r="J244" s="67" t="s">
        <v>26</v>
      </c>
      <c r="K244" s="54">
        <v>2</v>
      </c>
      <c r="L244" s="45" t="s">
        <v>74</v>
      </c>
      <c r="M244" s="4">
        <v>10952.48</v>
      </c>
      <c r="N244" s="4">
        <f>M244/1.12</f>
        <v>9778.9999999999982</v>
      </c>
      <c r="O244" s="4">
        <f t="shared" si="21"/>
        <v>21904.959999999999</v>
      </c>
      <c r="P244" s="47">
        <f t="shared" si="24"/>
        <v>19557.999999999996</v>
      </c>
      <c r="Q244" s="47">
        <f t="shared" si="22"/>
        <v>2346.9600000000028</v>
      </c>
      <c r="R244" s="19"/>
    </row>
    <row r="245" spans="1:18" x14ac:dyDescent="0.35">
      <c r="A245">
        <v>217</v>
      </c>
      <c r="E245" s="1">
        <v>5357</v>
      </c>
      <c r="F245" s="7">
        <v>30</v>
      </c>
      <c r="G245" s="7">
        <v>5552</v>
      </c>
      <c r="H245" s="44">
        <v>250527</v>
      </c>
      <c r="I245" s="53" t="s">
        <v>81</v>
      </c>
      <c r="J245" s="67" t="s">
        <v>106</v>
      </c>
      <c r="K245" s="54">
        <v>1</v>
      </c>
      <c r="L245" s="45" t="s">
        <v>74</v>
      </c>
      <c r="M245" s="4">
        <v>5605.6</v>
      </c>
      <c r="N245" s="4">
        <f>M245/1.12</f>
        <v>5005</v>
      </c>
      <c r="O245" s="4">
        <f t="shared" si="21"/>
        <v>5605.6</v>
      </c>
      <c r="P245" s="47">
        <f t="shared" si="24"/>
        <v>5005</v>
      </c>
      <c r="Q245" s="47">
        <f t="shared" si="22"/>
        <v>600.60000000000036</v>
      </c>
      <c r="R245" s="19"/>
    </row>
    <row r="246" spans="1:18" x14ac:dyDescent="0.35">
      <c r="A246">
        <v>218</v>
      </c>
      <c r="E246" s="1">
        <v>5358</v>
      </c>
      <c r="F246" s="7">
        <v>30</v>
      </c>
      <c r="G246" s="7">
        <v>5553</v>
      </c>
      <c r="H246" s="44">
        <v>250528</v>
      </c>
      <c r="I246" s="53" t="s">
        <v>58</v>
      </c>
      <c r="J246" s="67" t="s">
        <v>10</v>
      </c>
      <c r="K246" s="54">
        <v>1070</v>
      </c>
      <c r="L246" s="45" t="s">
        <v>59</v>
      </c>
      <c r="M246" s="4">
        <v>710</v>
      </c>
      <c r="N246" s="4">
        <f>M246/1.12</f>
        <v>633.92857142857133</v>
      </c>
      <c r="O246" s="4">
        <f t="shared" si="21"/>
        <v>759700</v>
      </c>
      <c r="P246" s="47">
        <f t="shared" si="24"/>
        <v>678303.57142857136</v>
      </c>
      <c r="Q246" s="47">
        <f t="shared" si="22"/>
        <v>81396.428571428638</v>
      </c>
      <c r="R246" s="19"/>
    </row>
    <row r="247" spans="1:18" x14ac:dyDescent="0.35">
      <c r="A247">
        <v>219</v>
      </c>
      <c r="E247" s="1">
        <v>5359</v>
      </c>
      <c r="F247" s="7">
        <v>30</v>
      </c>
      <c r="G247" s="7">
        <v>5554</v>
      </c>
      <c r="H247" s="44">
        <v>250529</v>
      </c>
      <c r="I247" s="53" t="s">
        <v>72</v>
      </c>
      <c r="J247" t="s">
        <v>13</v>
      </c>
      <c r="K247" s="54">
        <v>480</v>
      </c>
      <c r="L247" s="45" t="s">
        <v>94</v>
      </c>
      <c r="N247" s="4">
        <v>300.5</v>
      </c>
      <c r="P247" s="4">
        <f>N247*K247</f>
        <v>144240</v>
      </c>
      <c r="Q247" s="47">
        <v>0</v>
      </c>
      <c r="R247" s="19"/>
    </row>
    <row r="248" spans="1:18" x14ac:dyDescent="0.35">
      <c r="A248">
        <v>220</v>
      </c>
      <c r="E248" s="1">
        <v>5359</v>
      </c>
      <c r="F248" s="7">
        <v>30</v>
      </c>
      <c r="G248" s="7">
        <v>5554</v>
      </c>
      <c r="H248" s="44">
        <v>250529</v>
      </c>
      <c r="I248" s="53" t="s">
        <v>72</v>
      </c>
      <c r="J248" t="s">
        <v>15</v>
      </c>
      <c r="K248" s="54">
        <v>540</v>
      </c>
      <c r="L248" s="45" t="s">
        <v>94</v>
      </c>
      <c r="N248" s="4">
        <v>288.5</v>
      </c>
      <c r="P248" s="4">
        <f>N248*K248</f>
        <v>155790</v>
      </c>
      <c r="Q248" s="47">
        <v>0</v>
      </c>
      <c r="R248" s="19"/>
    </row>
    <row r="249" spans="1:18" x14ac:dyDescent="0.35">
      <c r="A249">
        <v>221</v>
      </c>
      <c r="E249" s="1">
        <v>5359</v>
      </c>
      <c r="F249" s="7">
        <v>30</v>
      </c>
      <c r="G249" s="7">
        <v>5554</v>
      </c>
      <c r="H249" s="44">
        <v>250529</v>
      </c>
      <c r="I249" s="53" t="s">
        <v>72</v>
      </c>
      <c r="J249" t="s">
        <v>57</v>
      </c>
      <c r="K249" s="54">
        <v>400</v>
      </c>
      <c r="L249" s="45" t="s">
        <v>94</v>
      </c>
      <c r="N249" s="4">
        <v>304.75</v>
      </c>
      <c r="P249" s="4">
        <f>N249*K249</f>
        <v>121900</v>
      </c>
      <c r="Q249" s="47">
        <v>0</v>
      </c>
      <c r="R249" s="19"/>
    </row>
    <row r="250" spans="1:18" x14ac:dyDescent="0.35">
      <c r="A250">
        <v>222</v>
      </c>
      <c r="E250" s="1">
        <v>5359</v>
      </c>
      <c r="F250" s="7">
        <v>30</v>
      </c>
      <c r="G250" s="7">
        <v>5554</v>
      </c>
      <c r="H250" s="44">
        <v>250529</v>
      </c>
      <c r="I250" s="53" t="s">
        <v>72</v>
      </c>
      <c r="J250" s="67" t="s">
        <v>112</v>
      </c>
      <c r="K250" s="54">
        <v>25</v>
      </c>
      <c r="L250" s="45" t="s">
        <v>94</v>
      </c>
      <c r="M250" s="19"/>
      <c r="N250" s="4" t="s">
        <v>113</v>
      </c>
      <c r="O250" s="4">
        <f t="shared" si="21"/>
        <v>0</v>
      </c>
      <c r="P250" s="47"/>
      <c r="Q250" s="47"/>
      <c r="R250" s="19" t="s">
        <v>113</v>
      </c>
    </row>
    <row r="251" spans="1:18" x14ac:dyDescent="0.35">
      <c r="A251">
        <v>223</v>
      </c>
      <c r="E251" s="1">
        <v>5360</v>
      </c>
      <c r="F251" s="7">
        <v>30</v>
      </c>
      <c r="G251" s="7">
        <v>5555</v>
      </c>
      <c r="H251" s="44">
        <v>250602</v>
      </c>
      <c r="I251" s="53" t="s">
        <v>109</v>
      </c>
      <c r="J251" s="67" t="s">
        <v>29</v>
      </c>
      <c r="K251" s="54">
        <v>1250</v>
      </c>
      <c r="L251" s="45" t="s">
        <v>56</v>
      </c>
      <c r="M251" s="4">
        <v>311.04000000000002</v>
      </c>
      <c r="N251" s="4">
        <f>M251/1.12</f>
        <v>277.71428571428572</v>
      </c>
      <c r="O251" s="4">
        <f t="shared" si="21"/>
        <v>388800</v>
      </c>
      <c r="P251" s="47">
        <f t="shared" si="24"/>
        <v>347142.85714285716</v>
      </c>
      <c r="Q251" s="47">
        <f t="shared" si="22"/>
        <v>41657.142857142841</v>
      </c>
      <c r="R251" s="19"/>
    </row>
    <row r="252" spans="1:18" s="69" customFormat="1" x14ac:dyDescent="0.35">
      <c r="A252">
        <v>224</v>
      </c>
      <c r="B252"/>
      <c r="C252"/>
      <c r="D252"/>
      <c r="E252" s="68">
        <v>5361</v>
      </c>
      <c r="F252" s="7">
        <v>30</v>
      </c>
      <c r="G252" s="7">
        <v>5556</v>
      </c>
      <c r="H252" s="44">
        <v>250602</v>
      </c>
      <c r="I252" s="53" t="s">
        <v>109</v>
      </c>
      <c r="J252" s="67" t="s">
        <v>68</v>
      </c>
      <c r="K252">
        <v>1</v>
      </c>
      <c r="L252" s="45" t="s">
        <v>69</v>
      </c>
      <c r="M252" s="4">
        <v>323680</v>
      </c>
      <c r="N252" s="4">
        <f>M252/1.12</f>
        <v>289000</v>
      </c>
      <c r="O252" s="4">
        <f t="shared" si="21"/>
        <v>323680</v>
      </c>
      <c r="P252" s="47">
        <f>M252</f>
        <v>323680</v>
      </c>
      <c r="Q252" s="47">
        <f t="shared" si="22"/>
        <v>0</v>
      </c>
      <c r="R252" s="19"/>
    </row>
    <row r="253" spans="1:18" s="69" customFormat="1" x14ac:dyDescent="0.35">
      <c r="A253">
        <v>225</v>
      </c>
      <c r="B253"/>
      <c r="C253"/>
      <c r="D253"/>
      <c r="E253" s="68">
        <v>5361</v>
      </c>
      <c r="F253" s="7">
        <v>30</v>
      </c>
      <c r="G253" s="7">
        <v>5556</v>
      </c>
      <c r="H253" s="44">
        <v>250602</v>
      </c>
      <c r="I253" s="53" t="s">
        <v>109</v>
      </c>
      <c r="J253" t="s">
        <v>13</v>
      </c>
      <c r="K253" s="54">
        <v>8</v>
      </c>
      <c r="L253" s="45" t="s">
        <v>74</v>
      </c>
      <c r="M253" s="57">
        <f>234.02*30</f>
        <v>7020.6</v>
      </c>
      <c r="N253" s="4">
        <f>M253/1.12</f>
        <v>6268.3928571428569</v>
      </c>
      <c r="O253" s="4">
        <f t="shared" si="21"/>
        <v>56164.800000000003</v>
      </c>
      <c r="P253" s="47">
        <f t="shared" ref="P253:P254" si="25">K253*N253</f>
        <v>50147.142857142855</v>
      </c>
      <c r="Q253" s="47">
        <f t="shared" si="22"/>
        <v>6017.6571428571478</v>
      </c>
      <c r="R253" s="19"/>
    </row>
    <row r="254" spans="1:18" s="69" customFormat="1" x14ac:dyDescent="0.35">
      <c r="A254">
        <v>226</v>
      </c>
      <c r="B254"/>
      <c r="C254"/>
      <c r="D254"/>
      <c r="E254" s="68">
        <v>5361</v>
      </c>
      <c r="F254" s="7">
        <v>30</v>
      </c>
      <c r="G254" s="7">
        <v>5556</v>
      </c>
      <c r="H254" s="44">
        <v>250602</v>
      </c>
      <c r="I254" s="53" t="s">
        <v>109</v>
      </c>
      <c r="J254" t="s">
        <v>14</v>
      </c>
      <c r="K254" s="54">
        <v>8</v>
      </c>
      <c r="L254" s="45" t="s">
        <v>74</v>
      </c>
      <c r="M254" s="57">
        <f>222.26*30</f>
        <v>6667.7999999999993</v>
      </c>
      <c r="N254" s="4">
        <f>M254/1.12</f>
        <v>5953.392857142856</v>
      </c>
      <c r="O254" s="4">
        <f t="shared" si="21"/>
        <v>53342.399999999994</v>
      </c>
      <c r="P254" s="47">
        <f t="shared" si="25"/>
        <v>47627.142857142848</v>
      </c>
      <c r="Q254" s="47">
        <f t="shared" si="22"/>
        <v>5715.2571428571464</v>
      </c>
      <c r="R254" s="19"/>
    </row>
    <row r="255" spans="1:18" s="69" customFormat="1" x14ac:dyDescent="0.35">
      <c r="A255">
        <v>227</v>
      </c>
      <c r="B255"/>
      <c r="C255"/>
      <c r="D255"/>
      <c r="E255" s="68">
        <v>5361</v>
      </c>
      <c r="F255" s="7">
        <v>30</v>
      </c>
      <c r="G255" s="7">
        <v>5556</v>
      </c>
      <c r="H255" s="44">
        <v>250602</v>
      </c>
      <c r="I255" s="53" t="s">
        <v>109</v>
      </c>
      <c r="J255" s="67" t="s">
        <v>114</v>
      </c>
      <c r="K255">
        <v>16</v>
      </c>
      <c r="L255" s="45" t="s">
        <v>74</v>
      </c>
      <c r="M255" s="57">
        <v>6000</v>
      </c>
      <c r="N255" s="4">
        <f>M255/1.12</f>
        <v>5357.1428571428569</v>
      </c>
      <c r="O255" s="4">
        <f t="shared" si="21"/>
        <v>96000</v>
      </c>
      <c r="P255" s="47">
        <f>M255</f>
        <v>6000</v>
      </c>
      <c r="Q255" s="47">
        <f t="shared" si="22"/>
        <v>90000</v>
      </c>
      <c r="R255" s="19"/>
    </row>
    <row r="256" spans="1:18" x14ac:dyDescent="0.35">
      <c r="A256">
        <v>228</v>
      </c>
      <c r="E256" s="1">
        <v>5362</v>
      </c>
      <c r="F256" s="7">
        <v>30</v>
      </c>
      <c r="G256" s="7">
        <v>5557</v>
      </c>
      <c r="H256" s="44">
        <v>250602</v>
      </c>
      <c r="I256" s="67" t="s">
        <v>86</v>
      </c>
      <c r="J256" t="s">
        <v>68</v>
      </c>
      <c r="K256" s="45">
        <v>1</v>
      </c>
      <c r="L256" s="45" t="s">
        <v>69</v>
      </c>
      <c r="M256" s="4">
        <v>30000</v>
      </c>
      <c r="N256" s="4">
        <f>M256/1.12</f>
        <v>26785.714285714283</v>
      </c>
      <c r="O256" s="4">
        <f t="shared" si="21"/>
        <v>30000</v>
      </c>
      <c r="P256" s="47">
        <f>M256</f>
        <v>30000</v>
      </c>
      <c r="Q256" s="47">
        <f t="shared" si="22"/>
        <v>0</v>
      </c>
    </row>
    <row r="257" spans="1:18" x14ac:dyDescent="0.35">
      <c r="A257">
        <v>229</v>
      </c>
      <c r="E257" s="1">
        <v>5362</v>
      </c>
      <c r="F257" s="7">
        <v>30</v>
      </c>
      <c r="G257" s="7">
        <v>5557</v>
      </c>
      <c r="H257" s="44">
        <v>250602</v>
      </c>
      <c r="I257" s="67" t="s">
        <v>86</v>
      </c>
      <c r="J257" t="s">
        <v>13</v>
      </c>
      <c r="K257" s="45">
        <v>1</v>
      </c>
      <c r="L257" s="45" t="s">
        <v>74</v>
      </c>
      <c r="M257" s="57">
        <f>234.02*30</f>
        <v>7020.6</v>
      </c>
      <c r="N257" s="4">
        <f>M257/1.12</f>
        <v>6268.3928571428569</v>
      </c>
      <c r="O257" s="4">
        <f t="shared" si="21"/>
        <v>7020.6</v>
      </c>
      <c r="P257" s="47">
        <f t="shared" ref="P257:P258" si="26">K257*N257</f>
        <v>6268.3928571428569</v>
      </c>
      <c r="Q257" s="47">
        <f t="shared" si="22"/>
        <v>752.20714285714348</v>
      </c>
    </row>
    <row r="258" spans="1:18" x14ac:dyDescent="0.35">
      <c r="A258">
        <v>230</v>
      </c>
      <c r="E258" s="1">
        <v>5362</v>
      </c>
      <c r="F258" s="7">
        <v>30</v>
      </c>
      <c r="G258" s="7">
        <v>5557</v>
      </c>
      <c r="H258" s="44">
        <v>250602</v>
      </c>
      <c r="I258" s="67" t="s">
        <v>86</v>
      </c>
      <c r="J258" t="s">
        <v>14</v>
      </c>
      <c r="K258" s="45">
        <v>1</v>
      </c>
      <c r="L258" s="45" t="s">
        <v>74</v>
      </c>
      <c r="M258" s="57">
        <f>222.26*30</f>
        <v>6667.7999999999993</v>
      </c>
      <c r="N258" s="4">
        <f>M258/1.12</f>
        <v>5953.392857142856</v>
      </c>
      <c r="O258" s="4">
        <f t="shared" si="21"/>
        <v>6667.7999999999993</v>
      </c>
      <c r="P258" s="47">
        <f t="shared" si="26"/>
        <v>5953.392857142856</v>
      </c>
      <c r="Q258" s="47">
        <f t="shared" si="22"/>
        <v>714.4071428571433</v>
      </c>
    </row>
    <row r="259" spans="1:18" x14ac:dyDescent="0.35">
      <c r="A259">
        <v>231</v>
      </c>
      <c r="E259" s="1">
        <v>5362</v>
      </c>
      <c r="F259" s="7">
        <v>30</v>
      </c>
      <c r="G259" s="7">
        <v>5557</v>
      </c>
      <c r="H259" s="44">
        <v>250602</v>
      </c>
      <c r="I259" s="67" t="s">
        <v>86</v>
      </c>
      <c r="J259" t="s">
        <v>57</v>
      </c>
      <c r="K259" s="45">
        <v>1</v>
      </c>
      <c r="L259" s="45" t="s">
        <v>74</v>
      </c>
      <c r="M259" s="57">
        <v>6000</v>
      </c>
      <c r="N259" s="4">
        <f>M259/1.12</f>
        <v>5357.1428571428569</v>
      </c>
      <c r="O259" s="4">
        <f t="shared" si="21"/>
        <v>6000</v>
      </c>
      <c r="P259" s="47">
        <f t="shared" si="24"/>
        <v>5357.1428571428569</v>
      </c>
      <c r="Q259" s="47">
        <f t="shared" si="22"/>
        <v>642.85714285714312</v>
      </c>
    </row>
    <row r="260" spans="1:18" x14ac:dyDescent="0.35">
      <c r="A260">
        <v>232</v>
      </c>
      <c r="E260" s="1">
        <v>5363</v>
      </c>
      <c r="F260" s="7">
        <v>30</v>
      </c>
      <c r="G260" s="7">
        <v>5558</v>
      </c>
      <c r="H260" s="44">
        <v>250606</v>
      </c>
      <c r="I260" s="67" t="s">
        <v>73</v>
      </c>
      <c r="J260" s="67" t="s">
        <v>26</v>
      </c>
      <c r="K260" s="45">
        <v>4</v>
      </c>
      <c r="L260" s="45" t="s">
        <v>74</v>
      </c>
      <c r="M260" s="4">
        <v>15950</v>
      </c>
      <c r="N260" s="4">
        <f>M260/1.12</f>
        <v>14241.071428571428</v>
      </c>
      <c r="O260" s="4">
        <f t="shared" si="21"/>
        <v>63800</v>
      </c>
      <c r="P260" s="47">
        <f t="shared" si="24"/>
        <v>56964.28571428571</v>
      </c>
      <c r="Q260" s="47">
        <f>O260-P260</f>
        <v>6835.7142857142899</v>
      </c>
    </row>
    <row r="261" spans="1:18" x14ac:dyDescent="0.35">
      <c r="A261">
        <v>233</v>
      </c>
      <c r="E261" s="1">
        <v>5363</v>
      </c>
      <c r="F261" s="7">
        <v>30</v>
      </c>
      <c r="G261" s="7">
        <v>5558</v>
      </c>
      <c r="H261" s="44">
        <v>250606</v>
      </c>
      <c r="I261" s="67" t="s">
        <v>73</v>
      </c>
      <c r="J261" s="67" t="s">
        <v>28</v>
      </c>
      <c r="K261" s="45">
        <v>4</v>
      </c>
      <c r="L261" s="45" t="s">
        <v>74</v>
      </c>
      <c r="M261" s="4">
        <v>8347.5</v>
      </c>
      <c r="N261" s="4">
        <f>M261/1.12</f>
        <v>7453.1249999999991</v>
      </c>
      <c r="O261" s="4">
        <f t="shared" si="21"/>
        <v>33390</v>
      </c>
      <c r="P261" s="47">
        <f t="shared" si="24"/>
        <v>29812.499999999996</v>
      </c>
      <c r="Q261" s="47">
        <f t="shared" ref="Q261:Q324" si="27">O261-P261</f>
        <v>3577.5000000000036</v>
      </c>
    </row>
    <row r="262" spans="1:18" x14ac:dyDescent="0.35">
      <c r="A262">
        <v>234</v>
      </c>
      <c r="E262" s="1">
        <v>5364</v>
      </c>
      <c r="F262" s="7">
        <v>30</v>
      </c>
      <c r="G262" s="7">
        <v>5559</v>
      </c>
      <c r="H262" s="44">
        <v>250605</v>
      </c>
      <c r="I262" s="53" t="s">
        <v>81</v>
      </c>
      <c r="J262" t="s">
        <v>13</v>
      </c>
      <c r="K262" s="45">
        <v>9</v>
      </c>
      <c r="L262" s="45" t="s">
        <v>74</v>
      </c>
      <c r="M262" s="4">
        <v>7020.72</v>
      </c>
      <c r="N262" s="4">
        <f>M262/1.12</f>
        <v>6268.5</v>
      </c>
      <c r="O262" s="4">
        <f t="shared" si="21"/>
        <v>63186.48</v>
      </c>
      <c r="P262" s="47">
        <f t="shared" si="24"/>
        <v>56416.5</v>
      </c>
      <c r="Q262" s="47">
        <f t="shared" si="27"/>
        <v>6769.9800000000032</v>
      </c>
      <c r="R262" s="19"/>
    </row>
    <row r="263" spans="1:18" x14ac:dyDescent="0.35">
      <c r="A263">
        <v>235</v>
      </c>
      <c r="E263" s="1">
        <v>5364</v>
      </c>
      <c r="F263" s="7">
        <v>30</v>
      </c>
      <c r="G263" s="7">
        <v>5559</v>
      </c>
      <c r="H263" s="44">
        <v>250605</v>
      </c>
      <c r="I263" s="53" t="s">
        <v>81</v>
      </c>
      <c r="J263" t="s">
        <v>14</v>
      </c>
      <c r="K263" s="45">
        <v>7</v>
      </c>
      <c r="L263" s="45" t="s">
        <v>74</v>
      </c>
      <c r="M263" s="4">
        <v>6667.92</v>
      </c>
      <c r="N263" s="4">
        <f>M263/1.12</f>
        <v>5953.4999999999991</v>
      </c>
      <c r="O263" s="4">
        <f t="shared" si="21"/>
        <v>46675.44</v>
      </c>
      <c r="P263" s="47">
        <f t="shared" si="24"/>
        <v>41674.499999999993</v>
      </c>
      <c r="Q263" s="47">
        <f t="shared" si="27"/>
        <v>5000.9400000000096</v>
      </c>
      <c r="R263" s="19"/>
    </row>
    <row r="264" spans="1:18" x14ac:dyDescent="0.35">
      <c r="A264">
        <v>236</v>
      </c>
      <c r="E264" s="1">
        <v>5364</v>
      </c>
      <c r="F264" s="7">
        <v>30</v>
      </c>
      <c r="G264" s="7">
        <v>5559</v>
      </c>
      <c r="H264" s="44">
        <v>250605</v>
      </c>
      <c r="I264" s="53" t="s">
        <v>81</v>
      </c>
      <c r="J264" s="53" t="s">
        <v>25</v>
      </c>
      <c r="K264" s="45">
        <v>6</v>
      </c>
      <c r="L264" s="45" t="s">
        <v>74</v>
      </c>
      <c r="M264" s="4">
        <v>3360</v>
      </c>
      <c r="N264" s="4">
        <f>M264/1.12</f>
        <v>2999.9999999999995</v>
      </c>
      <c r="O264" s="4">
        <f t="shared" ref="O264:O290" si="28">M264*K264</f>
        <v>20160</v>
      </c>
      <c r="P264" s="47">
        <f t="shared" si="24"/>
        <v>17999.999999999996</v>
      </c>
      <c r="Q264" s="47">
        <f t="shared" si="27"/>
        <v>2160.0000000000036</v>
      </c>
      <c r="R264" s="19"/>
    </row>
    <row r="265" spans="1:18" x14ac:dyDescent="0.35">
      <c r="A265">
        <v>237</v>
      </c>
      <c r="E265" s="1">
        <v>5364</v>
      </c>
      <c r="F265" s="7">
        <v>30</v>
      </c>
      <c r="G265" s="7">
        <v>5559</v>
      </c>
      <c r="H265" s="44">
        <v>250605</v>
      </c>
      <c r="I265" s="53" t="s">
        <v>81</v>
      </c>
      <c r="J265" s="53" t="s">
        <v>30</v>
      </c>
      <c r="K265" s="45">
        <v>2</v>
      </c>
      <c r="L265" s="45" t="s">
        <v>74</v>
      </c>
      <c r="M265" s="4">
        <v>5600</v>
      </c>
      <c r="N265" s="4">
        <f>M265/1.12</f>
        <v>4999.9999999999991</v>
      </c>
      <c r="O265" s="4">
        <f t="shared" si="28"/>
        <v>11200</v>
      </c>
      <c r="P265" s="47">
        <f t="shared" si="24"/>
        <v>9999.9999999999982</v>
      </c>
      <c r="Q265" s="47">
        <f t="shared" si="27"/>
        <v>1200.0000000000018</v>
      </c>
      <c r="R265" s="19"/>
    </row>
    <row r="266" spans="1:18" x14ac:dyDescent="0.35">
      <c r="A266">
        <v>238</v>
      </c>
      <c r="E266" s="1">
        <v>5365</v>
      </c>
      <c r="F266" s="7">
        <v>60</v>
      </c>
      <c r="G266" s="7">
        <v>5560</v>
      </c>
      <c r="H266" s="44">
        <v>250609</v>
      </c>
      <c r="I266" s="53" t="s">
        <v>61</v>
      </c>
      <c r="J266" s="67" t="s">
        <v>10</v>
      </c>
      <c r="K266" s="45">
        <v>600</v>
      </c>
      <c r="L266" s="45" t="s">
        <v>59</v>
      </c>
      <c r="M266" s="4">
        <v>710</v>
      </c>
      <c r="N266" s="4">
        <f>M266/1.12</f>
        <v>633.92857142857133</v>
      </c>
      <c r="O266" s="4">
        <f t="shared" si="28"/>
        <v>426000</v>
      </c>
      <c r="P266" s="47">
        <f t="shared" si="24"/>
        <v>380357.14285714278</v>
      </c>
      <c r="Q266" s="47">
        <f t="shared" si="27"/>
        <v>45642.857142857218</v>
      </c>
      <c r="R266" s="19"/>
    </row>
    <row r="267" spans="1:18" x14ac:dyDescent="0.35">
      <c r="A267">
        <v>239</v>
      </c>
      <c r="E267" s="1">
        <v>5366</v>
      </c>
      <c r="F267" s="7">
        <v>30</v>
      </c>
      <c r="G267" s="7">
        <v>5561</v>
      </c>
      <c r="H267" s="44">
        <v>250610</v>
      </c>
      <c r="I267" s="53" t="s">
        <v>58</v>
      </c>
      <c r="J267" s="67" t="s">
        <v>10</v>
      </c>
      <c r="K267" s="45">
        <v>200</v>
      </c>
      <c r="L267" s="45" t="s">
        <v>59</v>
      </c>
      <c r="M267" s="4">
        <v>710</v>
      </c>
      <c r="N267" s="4">
        <f>M267/1.12</f>
        <v>633.92857142857133</v>
      </c>
      <c r="O267" s="4">
        <f t="shared" si="28"/>
        <v>142000</v>
      </c>
      <c r="P267" s="47">
        <f t="shared" si="24"/>
        <v>126785.71428571426</v>
      </c>
      <c r="Q267" s="47">
        <f t="shared" si="27"/>
        <v>15214.285714285739</v>
      </c>
      <c r="R267" s="19"/>
    </row>
    <row r="268" spans="1:18" x14ac:dyDescent="0.35">
      <c r="A268">
        <v>240</v>
      </c>
      <c r="E268" s="1">
        <v>5367</v>
      </c>
      <c r="F268" s="7">
        <v>30</v>
      </c>
      <c r="G268" s="7">
        <v>5562</v>
      </c>
      <c r="H268" s="44">
        <v>250618</v>
      </c>
      <c r="I268" s="53" t="s">
        <v>73</v>
      </c>
      <c r="J268" s="67" t="s">
        <v>26</v>
      </c>
      <c r="K268" s="45">
        <v>6</v>
      </c>
      <c r="L268" s="45" t="s">
        <v>74</v>
      </c>
      <c r="M268" s="4">
        <v>15950</v>
      </c>
      <c r="N268" s="4">
        <f>M268/1.12</f>
        <v>14241.071428571428</v>
      </c>
      <c r="O268" s="4">
        <f t="shared" si="28"/>
        <v>95700</v>
      </c>
      <c r="P268" s="47">
        <f t="shared" si="24"/>
        <v>85446.428571428565</v>
      </c>
      <c r="Q268" s="47">
        <f t="shared" si="27"/>
        <v>10253.571428571435</v>
      </c>
      <c r="R268" s="19"/>
    </row>
    <row r="269" spans="1:18" x14ac:dyDescent="0.35">
      <c r="A269">
        <v>241</v>
      </c>
      <c r="E269" s="1">
        <v>5367</v>
      </c>
      <c r="F269" s="7">
        <v>30</v>
      </c>
      <c r="G269" s="7">
        <v>5562</v>
      </c>
      <c r="H269" s="44">
        <v>250618</v>
      </c>
      <c r="I269" s="53" t="s">
        <v>73</v>
      </c>
      <c r="J269" s="67" t="s">
        <v>28</v>
      </c>
      <c r="K269" s="45">
        <v>2</v>
      </c>
      <c r="L269" s="45" t="s">
        <v>74</v>
      </c>
      <c r="M269" s="4">
        <v>8347.5</v>
      </c>
      <c r="N269" s="4">
        <f>M269/1.12</f>
        <v>7453.1249999999991</v>
      </c>
      <c r="O269" s="4">
        <f t="shared" si="28"/>
        <v>16695</v>
      </c>
      <c r="P269" s="47">
        <f t="shared" si="24"/>
        <v>14906.249999999998</v>
      </c>
      <c r="Q269" s="47">
        <f t="shared" si="27"/>
        <v>1788.7500000000018</v>
      </c>
      <c r="R269" s="19"/>
    </row>
    <row r="270" spans="1:18" x14ac:dyDescent="0.35">
      <c r="A270">
        <v>242</v>
      </c>
      <c r="E270" s="1">
        <v>5368</v>
      </c>
      <c r="F270" s="7">
        <v>30</v>
      </c>
      <c r="G270" s="7">
        <v>5563</v>
      </c>
      <c r="H270" s="44">
        <v>250618</v>
      </c>
      <c r="I270" s="53" t="s">
        <v>58</v>
      </c>
      <c r="J270" s="67" t="s">
        <v>18</v>
      </c>
      <c r="K270" s="45">
        <v>70</v>
      </c>
      <c r="L270" s="45" t="s">
        <v>59</v>
      </c>
      <c r="M270" s="4">
        <v>1765</v>
      </c>
      <c r="N270" s="4">
        <f>M270/1.12</f>
        <v>1575.8928571428569</v>
      </c>
      <c r="O270" s="4">
        <f t="shared" si="28"/>
        <v>123550</v>
      </c>
      <c r="P270" s="47">
        <f t="shared" si="24"/>
        <v>110312.49999999999</v>
      </c>
      <c r="Q270" s="47">
        <f t="shared" si="27"/>
        <v>13237.500000000015</v>
      </c>
      <c r="R270" s="19"/>
    </row>
    <row r="271" spans="1:18" x14ac:dyDescent="0.35">
      <c r="A271">
        <v>243</v>
      </c>
      <c r="E271" s="1">
        <v>5369</v>
      </c>
      <c r="F271" s="7">
        <v>60</v>
      </c>
      <c r="G271" s="7">
        <v>5564</v>
      </c>
      <c r="H271" s="44">
        <v>250620</v>
      </c>
      <c r="I271" s="53" t="s">
        <v>61</v>
      </c>
      <c r="J271" s="67" t="s">
        <v>18</v>
      </c>
      <c r="K271" s="45">
        <v>150</v>
      </c>
      <c r="L271" s="45" t="s">
        <v>59</v>
      </c>
      <c r="M271" s="4">
        <v>1700</v>
      </c>
      <c r="N271" s="4">
        <f>M271/1.12</f>
        <v>1517.8571428571427</v>
      </c>
      <c r="O271" s="4">
        <f t="shared" si="28"/>
        <v>255000</v>
      </c>
      <c r="P271" s="47">
        <f t="shared" si="24"/>
        <v>227678.57142857139</v>
      </c>
      <c r="Q271" s="47">
        <f t="shared" si="27"/>
        <v>27321.428571428609</v>
      </c>
      <c r="R271" s="19"/>
    </row>
    <row r="272" spans="1:18" x14ac:dyDescent="0.35">
      <c r="A272">
        <v>244</v>
      </c>
      <c r="E272" s="1">
        <v>5370</v>
      </c>
      <c r="F272" s="7">
        <v>60</v>
      </c>
      <c r="G272" s="7">
        <v>5565</v>
      </c>
      <c r="H272" s="44">
        <v>250620</v>
      </c>
      <c r="I272" s="53" t="s">
        <v>61</v>
      </c>
      <c r="J272" s="67" t="s">
        <v>10</v>
      </c>
      <c r="K272" s="45">
        <v>1000</v>
      </c>
      <c r="L272" s="45" t="s">
        <v>59</v>
      </c>
      <c r="M272" s="4">
        <v>710</v>
      </c>
      <c r="N272" s="4">
        <f>M272/1.12</f>
        <v>633.92857142857133</v>
      </c>
      <c r="O272" s="4">
        <f t="shared" si="28"/>
        <v>710000</v>
      </c>
      <c r="P272" s="47">
        <f t="shared" si="24"/>
        <v>633928.57142857136</v>
      </c>
      <c r="Q272" s="47">
        <f t="shared" si="27"/>
        <v>76071.428571428638</v>
      </c>
    </row>
    <row r="273" spans="1:18" x14ac:dyDescent="0.35">
      <c r="A273">
        <v>245</v>
      </c>
      <c r="E273" s="1">
        <v>5371</v>
      </c>
      <c r="F273" s="7">
        <v>60</v>
      </c>
      <c r="G273" s="7">
        <v>5566</v>
      </c>
      <c r="H273" s="44">
        <v>250620</v>
      </c>
      <c r="I273" s="53" t="s">
        <v>62</v>
      </c>
      <c r="J273" t="s">
        <v>13</v>
      </c>
      <c r="K273" s="45">
        <v>120</v>
      </c>
      <c r="L273" s="45" t="s">
        <v>94</v>
      </c>
      <c r="M273" s="4">
        <v>358.4</v>
      </c>
      <c r="N273" s="4">
        <f>M273/1.12</f>
        <v>319.99999999999994</v>
      </c>
      <c r="O273" s="4">
        <f t="shared" si="28"/>
        <v>43008</v>
      </c>
      <c r="P273" s="47">
        <f t="shared" si="24"/>
        <v>38399.999999999993</v>
      </c>
      <c r="Q273" s="47">
        <f t="shared" si="27"/>
        <v>4608.0000000000073</v>
      </c>
      <c r="R273" s="19"/>
    </row>
    <row r="274" spans="1:18" x14ac:dyDescent="0.35">
      <c r="A274">
        <v>246</v>
      </c>
      <c r="E274" s="1">
        <v>5372</v>
      </c>
      <c r="F274" s="7">
        <v>60</v>
      </c>
      <c r="G274" s="7">
        <v>5566</v>
      </c>
      <c r="H274" s="44">
        <v>250620</v>
      </c>
      <c r="I274" s="53" t="s">
        <v>62</v>
      </c>
      <c r="J274" t="s">
        <v>14</v>
      </c>
      <c r="K274" s="45">
        <v>150</v>
      </c>
      <c r="L274" s="45" t="s">
        <v>94</v>
      </c>
      <c r="M274" s="4">
        <v>353.92</v>
      </c>
      <c r="N274" s="4">
        <f>M274/1.12</f>
        <v>316</v>
      </c>
      <c r="O274" s="4">
        <f t="shared" si="28"/>
        <v>53088</v>
      </c>
      <c r="P274" s="47">
        <f t="shared" si="24"/>
        <v>47400</v>
      </c>
      <c r="Q274" s="47">
        <f t="shared" si="27"/>
        <v>5688</v>
      </c>
      <c r="R274" s="19"/>
    </row>
    <row r="275" spans="1:18" x14ac:dyDescent="0.35">
      <c r="A275">
        <v>247</v>
      </c>
      <c r="E275" s="1">
        <v>5373</v>
      </c>
      <c r="F275" s="7">
        <v>60</v>
      </c>
      <c r="G275" s="7">
        <v>5566</v>
      </c>
      <c r="H275" s="44">
        <v>250620</v>
      </c>
      <c r="I275" s="53" t="s">
        <v>62</v>
      </c>
      <c r="J275" t="s">
        <v>8</v>
      </c>
      <c r="K275" s="45">
        <v>325</v>
      </c>
      <c r="L275" s="45" t="s">
        <v>94</v>
      </c>
      <c r="M275" s="4">
        <v>364</v>
      </c>
      <c r="N275" s="4">
        <f>M275/1.12</f>
        <v>324.99999999999994</v>
      </c>
      <c r="O275" s="4">
        <f t="shared" si="28"/>
        <v>118300</v>
      </c>
      <c r="P275" s="47">
        <f t="shared" si="24"/>
        <v>105624.99999999999</v>
      </c>
      <c r="Q275" s="47">
        <f t="shared" si="27"/>
        <v>12675.000000000015</v>
      </c>
      <c r="R275" s="19"/>
    </row>
    <row r="276" spans="1:18" x14ac:dyDescent="0.35">
      <c r="A276">
        <v>248</v>
      </c>
      <c r="E276" s="1">
        <v>5374</v>
      </c>
      <c r="F276" s="7">
        <v>60</v>
      </c>
      <c r="G276" s="7">
        <v>5566</v>
      </c>
      <c r="H276" s="44">
        <v>250620</v>
      </c>
      <c r="I276" s="53" t="s">
        <v>62</v>
      </c>
      <c r="J276" s="67" t="s">
        <v>65</v>
      </c>
      <c r="K276" s="45">
        <v>150</v>
      </c>
      <c r="L276" s="45" t="s">
        <v>94</v>
      </c>
      <c r="M276" s="4">
        <v>20.38</v>
      </c>
      <c r="N276" s="4">
        <f>M276/1.12</f>
        <v>18.196428571428569</v>
      </c>
      <c r="O276" s="4">
        <f t="shared" si="28"/>
        <v>3057</v>
      </c>
      <c r="P276" s="47">
        <f t="shared" si="24"/>
        <v>2729.4642857142853</v>
      </c>
      <c r="Q276" s="47">
        <f t="shared" si="27"/>
        <v>327.53571428571468</v>
      </c>
      <c r="R276" s="19"/>
    </row>
    <row r="277" spans="1:18" x14ac:dyDescent="0.35">
      <c r="A277">
        <v>249</v>
      </c>
      <c r="D277" t="s">
        <v>115</v>
      </c>
      <c r="E277" s="1">
        <v>5375</v>
      </c>
      <c r="F277" s="7">
        <v>30</v>
      </c>
      <c r="G277" s="7">
        <v>5567</v>
      </c>
      <c r="H277" s="44">
        <v>250624</v>
      </c>
      <c r="I277" s="53" t="s">
        <v>81</v>
      </c>
      <c r="J277" s="67" t="s">
        <v>26</v>
      </c>
      <c r="K277" s="45">
        <v>13</v>
      </c>
      <c r="L277" s="45" t="s">
        <v>74</v>
      </c>
      <c r="M277" s="4">
        <v>10952.48</v>
      </c>
      <c r="N277" s="4">
        <f>M277/1.12</f>
        <v>9778.9999999999982</v>
      </c>
      <c r="O277" s="4">
        <f t="shared" si="28"/>
        <v>142382.24</v>
      </c>
      <c r="P277" s="47">
        <f t="shared" si="24"/>
        <v>127126.99999999997</v>
      </c>
      <c r="Q277" s="47">
        <f t="shared" si="27"/>
        <v>15255.24000000002</v>
      </c>
      <c r="R277" s="19"/>
    </row>
    <row r="278" spans="1:18" x14ac:dyDescent="0.35">
      <c r="A278">
        <v>250</v>
      </c>
      <c r="E278" s="1">
        <v>5375</v>
      </c>
      <c r="F278" s="7">
        <v>30</v>
      </c>
      <c r="G278" s="7">
        <v>5567</v>
      </c>
      <c r="H278" s="44">
        <v>250624</v>
      </c>
      <c r="I278" s="53" t="s">
        <v>81</v>
      </c>
      <c r="J278" s="67" t="s">
        <v>106</v>
      </c>
      <c r="K278" s="45">
        <v>3</v>
      </c>
      <c r="L278" s="45" t="s">
        <v>74</v>
      </c>
      <c r="M278" s="4">
        <v>5605.6</v>
      </c>
      <c r="N278" s="4">
        <f>M278/1.12</f>
        <v>5005</v>
      </c>
      <c r="O278" s="4">
        <f t="shared" si="28"/>
        <v>16816.800000000003</v>
      </c>
      <c r="P278" s="47">
        <f t="shared" si="24"/>
        <v>15015</v>
      </c>
      <c r="Q278" s="47">
        <f t="shared" si="27"/>
        <v>1801.8000000000029</v>
      </c>
      <c r="R278" s="19"/>
    </row>
    <row r="279" spans="1:18" x14ac:dyDescent="0.35">
      <c r="A279">
        <v>251</v>
      </c>
      <c r="E279" s="1">
        <v>5376</v>
      </c>
      <c r="F279" s="7">
        <v>30</v>
      </c>
      <c r="G279" s="7">
        <v>5568</v>
      </c>
      <c r="H279" s="44">
        <v>250625</v>
      </c>
      <c r="I279" s="53" t="s">
        <v>116</v>
      </c>
      <c r="J279" s="67" t="s">
        <v>55</v>
      </c>
      <c r="K279">
        <v>1</v>
      </c>
      <c r="L279" s="45" t="s">
        <v>110</v>
      </c>
      <c r="M279" s="4">
        <v>273358.8</v>
      </c>
      <c r="N279" s="4">
        <f>M279/1.12</f>
        <v>244070.3571428571</v>
      </c>
      <c r="O279" s="4">
        <f t="shared" si="28"/>
        <v>273358.8</v>
      </c>
      <c r="P279" s="4">
        <f>N279*K279</f>
        <v>244070.3571428571</v>
      </c>
      <c r="Q279" s="47">
        <v>0</v>
      </c>
      <c r="R279" s="19"/>
    </row>
    <row r="280" spans="1:18" x14ac:dyDescent="0.35">
      <c r="A280">
        <v>252</v>
      </c>
      <c r="E280" s="1">
        <v>5376</v>
      </c>
      <c r="F280" s="7">
        <v>30</v>
      </c>
      <c r="G280" s="7">
        <v>5568</v>
      </c>
      <c r="H280" s="44">
        <v>250624</v>
      </c>
      <c r="I280" s="53" t="s">
        <v>116</v>
      </c>
      <c r="J280" t="s">
        <v>13</v>
      </c>
      <c r="K280" s="45">
        <v>7</v>
      </c>
      <c r="L280" s="45" t="s">
        <v>74</v>
      </c>
      <c r="M280" s="57">
        <f>234.02*30</f>
        <v>7020.6</v>
      </c>
      <c r="N280" s="4">
        <f>M280/1.12</f>
        <v>6268.3928571428569</v>
      </c>
      <c r="O280" s="4">
        <f t="shared" si="28"/>
        <v>49144.200000000004</v>
      </c>
      <c r="P280" s="47">
        <f t="shared" si="24"/>
        <v>43878.75</v>
      </c>
      <c r="Q280" s="47">
        <f t="shared" si="27"/>
        <v>5265.4500000000044</v>
      </c>
      <c r="R280" s="19"/>
    </row>
    <row r="281" spans="1:18" x14ac:dyDescent="0.35">
      <c r="A281">
        <v>253</v>
      </c>
      <c r="E281" s="1">
        <v>5376</v>
      </c>
      <c r="F281" s="7">
        <v>30</v>
      </c>
      <c r="G281" s="7">
        <v>5568</v>
      </c>
      <c r="H281" s="44">
        <v>250624</v>
      </c>
      <c r="I281" s="53" t="s">
        <v>116</v>
      </c>
      <c r="J281" t="s">
        <v>14</v>
      </c>
      <c r="K281" s="45">
        <v>7</v>
      </c>
      <c r="L281" s="45" t="s">
        <v>74</v>
      </c>
      <c r="M281" s="57">
        <f>222.26*30</f>
        <v>6667.7999999999993</v>
      </c>
      <c r="N281" s="4">
        <f>M281/1.12</f>
        <v>5953.392857142856</v>
      </c>
      <c r="O281" s="4">
        <f t="shared" si="28"/>
        <v>46674.599999999991</v>
      </c>
      <c r="P281" s="47">
        <f t="shared" si="24"/>
        <v>41673.749999999993</v>
      </c>
      <c r="Q281" s="47">
        <f t="shared" si="27"/>
        <v>5000.8499999999985</v>
      </c>
      <c r="R281" s="19"/>
    </row>
    <row r="282" spans="1:18" x14ac:dyDescent="0.35">
      <c r="A282">
        <v>254</v>
      </c>
      <c r="E282" s="1">
        <v>5376</v>
      </c>
      <c r="F282" s="7">
        <v>30</v>
      </c>
      <c r="G282" s="7">
        <v>5568</v>
      </c>
      <c r="H282" s="44">
        <v>250624</v>
      </c>
      <c r="I282" s="53" t="s">
        <v>116</v>
      </c>
      <c r="J282" t="s">
        <v>57</v>
      </c>
      <c r="K282" s="45">
        <v>9</v>
      </c>
      <c r="L282" s="45" t="s">
        <v>74</v>
      </c>
      <c r="M282" s="57">
        <v>6000</v>
      </c>
      <c r="N282" s="4">
        <f>M282/1.12</f>
        <v>5357.1428571428569</v>
      </c>
      <c r="O282" s="4">
        <f t="shared" si="28"/>
        <v>54000</v>
      </c>
      <c r="P282" s="47">
        <f t="shared" si="24"/>
        <v>48214.28571428571</v>
      </c>
      <c r="Q282" s="47">
        <f t="shared" si="27"/>
        <v>5785.7142857142899</v>
      </c>
      <c r="R282" s="19"/>
    </row>
    <row r="283" spans="1:18" x14ac:dyDescent="0.35">
      <c r="A283">
        <v>255</v>
      </c>
      <c r="E283" s="1">
        <v>5377</v>
      </c>
      <c r="F283" s="7">
        <v>30</v>
      </c>
      <c r="G283" s="7">
        <v>5569</v>
      </c>
      <c r="H283" s="44">
        <v>250626</v>
      </c>
      <c r="I283" s="53" t="s">
        <v>72</v>
      </c>
      <c r="J283" t="s">
        <v>13</v>
      </c>
      <c r="K283" s="45">
        <v>660</v>
      </c>
      <c r="L283" s="45" t="s">
        <v>94</v>
      </c>
      <c r="N283" s="4">
        <v>300.5</v>
      </c>
      <c r="P283" s="4">
        <f>N283*K283</f>
        <v>198330</v>
      </c>
      <c r="Q283" s="47">
        <v>0</v>
      </c>
      <c r="R283" s="19"/>
    </row>
    <row r="284" spans="1:18" ht="14.25" customHeight="1" x14ac:dyDescent="0.35">
      <c r="A284">
        <v>256</v>
      </c>
      <c r="E284" s="1">
        <v>5377</v>
      </c>
      <c r="F284" s="7">
        <v>30</v>
      </c>
      <c r="G284" s="7">
        <v>5569</v>
      </c>
      <c r="H284" s="44">
        <v>250626</v>
      </c>
      <c r="I284" s="53" t="s">
        <v>72</v>
      </c>
      <c r="J284" t="s">
        <v>14</v>
      </c>
      <c r="K284" s="45">
        <v>720</v>
      </c>
      <c r="L284" s="45" t="s">
        <v>94</v>
      </c>
      <c r="N284" s="4">
        <v>288.5</v>
      </c>
      <c r="P284" s="4">
        <f>N284*K284</f>
        <v>207720</v>
      </c>
      <c r="Q284" s="47">
        <v>0</v>
      </c>
      <c r="R284" s="19"/>
    </row>
    <row r="285" spans="1:18" x14ac:dyDescent="0.35">
      <c r="A285">
        <v>257</v>
      </c>
      <c r="E285" s="1">
        <v>5377</v>
      </c>
      <c r="F285" s="7">
        <v>30</v>
      </c>
      <c r="G285" s="7">
        <v>5569</v>
      </c>
      <c r="H285" s="44">
        <v>250626</v>
      </c>
      <c r="I285" s="53" t="s">
        <v>72</v>
      </c>
      <c r="J285" t="s">
        <v>57</v>
      </c>
      <c r="K285" s="45">
        <v>700</v>
      </c>
      <c r="L285" s="45" t="s">
        <v>94</v>
      </c>
      <c r="N285" s="4">
        <v>304.75</v>
      </c>
      <c r="P285" s="4">
        <f>N285*K285</f>
        <v>213325</v>
      </c>
      <c r="Q285" s="47">
        <v>0</v>
      </c>
      <c r="R285" s="19"/>
    </row>
    <row r="286" spans="1:18" x14ac:dyDescent="0.35">
      <c r="A286">
        <v>258</v>
      </c>
      <c r="F286" s="7">
        <v>30</v>
      </c>
      <c r="G286" s="7">
        <v>5570</v>
      </c>
      <c r="H286" s="44">
        <v>250627</v>
      </c>
      <c r="I286" s="53" t="s">
        <v>102</v>
      </c>
      <c r="J286" s="67" t="s">
        <v>55</v>
      </c>
      <c r="K286">
        <v>1</v>
      </c>
      <c r="L286" s="45" t="s">
        <v>110</v>
      </c>
      <c r="M286" s="4">
        <v>29000</v>
      </c>
      <c r="N286" s="4">
        <f>M286/1.12</f>
        <v>25892.857142857141</v>
      </c>
      <c r="O286" s="4">
        <f t="shared" si="28"/>
        <v>29000</v>
      </c>
      <c r="P286" s="47">
        <f t="shared" ref="P286:P365" si="29">K286*N286</f>
        <v>25892.857142857141</v>
      </c>
      <c r="Q286" s="47">
        <f t="shared" si="27"/>
        <v>3107.1428571428587</v>
      </c>
      <c r="R286" s="19"/>
    </row>
    <row r="287" spans="1:18" x14ac:dyDescent="0.35">
      <c r="A287">
        <v>259</v>
      </c>
      <c r="F287" s="7">
        <v>30</v>
      </c>
      <c r="G287" s="7">
        <v>5571</v>
      </c>
      <c r="H287" s="44">
        <v>250627</v>
      </c>
      <c r="I287" s="53" t="s">
        <v>102</v>
      </c>
      <c r="J287" s="67" t="s">
        <v>55</v>
      </c>
      <c r="K287">
        <v>1</v>
      </c>
      <c r="L287" s="45" t="s">
        <v>110</v>
      </c>
      <c r="M287" s="4">
        <v>29000</v>
      </c>
      <c r="N287" s="4">
        <f>M287/1.12</f>
        <v>25892.857142857141</v>
      </c>
      <c r="O287" s="4">
        <f t="shared" si="28"/>
        <v>29000</v>
      </c>
      <c r="P287" s="47">
        <f t="shared" si="29"/>
        <v>25892.857142857141</v>
      </c>
      <c r="Q287" s="47">
        <f t="shared" si="27"/>
        <v>3107.1428571428587</v>
      </c>
      <c r="R287" s="19"/>
    </row>
    <row r="288" spans="1:18" x14ac:dyDescent="0.35">
      <c r="A288">
        <v>260</v>
      </c>
      <c r="F288" s="7">
        <v>30</v>
      </c>
      <c r="G288" s="7">
        <v>5572</v>
      </c>
      <c r="H288" s="44">
        <v>250627</v>
      </c>
      <c r="I288" s="53" t="s">
        <v>102</v>
      </c>
      <c r="J288" s="67" t="s">
        <v>55</v>
      </c>
      <c r="K288">
        <v>1</v>
      </c>
      <c r="L288" s="45" t="s">
        <v>110</v>
      </c>
      <c r="M288" s="4">
        <v>29000</v>
      </c>
      <c r="N288" s="4">
        <f>M288/1.12</f>
        <v>25892.857142857141</v>
      </c>
      <c r="O288" s="4">
        <f t="shared" si="28"/>
        <v>29000</v>
      </c>
      <c r="P288" s="47">
        <f t="shared" si="29"/>
        <v>25892.857142857141</v>
      </c>
      <c r="Q288" s="47">
        <f t="shared" si="27"/>
        <v>3107.1428571428587</v>
      </c>
    </row>
    <row r="289" spans="1:18" x14ac:dyDescent="0.35">
      <c r="A289">
        <v>261</v>
      </c>
      <c r="F289" s="7">
        <v>30</v>
      </c>
      <c r="G289" s="7">
        <v>5573</v>
      </c>
      <c r="H289" s="44">
        <v>250627</v>
      </c>
      <c r="I289" s="53" t="s">
        <v>102</v>
      </c>
      <c r="J289" s="67" t="s">
        <v>55</v>
      </c>
      <c r="K289">
        <v>1</v>
      </c>
      <c r="L289" s="45" t="s">
        <v>110</v>
      </c>
      <c r="M289" s="4">
        <v>29000</v>
      </c>
      <c r="N289" s="4">
        <f>M289/1.12</f>
        <v>25892.857142857141</v>
      </c>
      <c r="O289" s="4">
        <f t="shared" si="28"/>
        <v>29000</v>
      </c>
      <c r="P289" s="47">
        <f t="shared" si="29"/>
        <v>25892.857142857141</v>
      </c>
      <c r="Q289" s="47">
        <f t="shared" si="27"/>
        <v>3107.1428571428587</v>
      </c>
      <c r="R289" s="19"/>
    </row>
    <row r="290" spans="1:18" x14ac:dyDescent="0.35">
      <c r="A290">
        <v>262</v>
      </c>
      <c r="F290" s="7">
        <v>30</v>
      </c>
      <c r="G290" s="7">
        <v>5574</v>
      </c>
      <c r="H290" s="44">
        <v>250627</v>
      </c>
      <c r="I290" s="53" t="s">
        <v>102</v>
      </c>
      <c r="J290" s="67" t="s">
        <v>55</v>
      </c>
      <c r="K290">
        <v>1</v>
      </c>
      <c r="L290" s="45" t="s">
        <v>110</v>
      </c>
      <c r="M290" s="4">
        <v>29000</v>
      </c>
      <c r="N290" s="4">
        <f>M290/1.12</f>
        <v>25892.857142857141</v>
      </c>
      <c r="O290" s="4">
        <f t="shared" si="28"/>
        <v>29000</v>
      </c>
      <c r="P290" s="47">
        <f t="shared" si="29"/>
        <v>25892.857142857141</v>
      </c>
      <c r="Q290" s="47">
        <f t="shared" si="27"/>
        <v>3107.1428571428587</v>
      </c>
      <c r="R290" s="19"/>
    </row>
    <row r="291" spans="1:18" x14ac:dyDescent="0.35">
      <c r="A291">
        <v>263</v>
      </c>
      <c r="E291" s="1">
        <v>5378</v>
      </c>
      <c r="F291" s="7">
        <v>30</v>
      </c>
      <c r="G291" s="70">
        <v>5575</v>
      </c>
      <c r="H291" s="71" t="s">
        <v>117</v>
      </c>
      <c r="I291" s="53" t="s">
        <v>73</v>
      </c>
      <c r="J291" s="67" t="s">
        <v>26</v>
      </c>
      <c r="K291">
        <v>6</v>
      </c>
      <c r="L291" s="45" t="s">
        <v>74</v>
      </c>
      <c r="M291" s="4">
        <v>15950</v>
      </c>
      <c r="N291" s="4">
        <f>M291/1.12</f>
        <v>14241.071428571428</v>
      </c>
      <c r="O291" s="4">
        <f>M291*K291</f>
        <v>95700</v>
      </c>
      <c r="P291" s="47">
        <f t="shared" si="29"/>
        <v>85446.428571428565</v>
      </c>
      <c r="Q291" s="47">
        <f t="shared" si="27"/>
        <v>10253.571428571435</v>
      </c>
      <c r="R291" s="19"/>
    </row>
    <row r="292" spans="1:18" x14ac:dyDescent="0.35">
      <c r="A292">
        <v>264</v>
      </c>
      <c r="E292" s="1">
        <v>5378</v>
      </c>
      <c r="F292" s="7">
        <v>30</v>
      </c>
      <c r="G292" s="70">
        <v>5575</v>
      </c>
      <c r="H292" s="71" t="s">
        <v>117</v>
      </c>
      <c r="I292" s="53" t="s">
        <v>73</v>
      </c>
      <c r="J292" s="67" t="s">
        <v>106</v>
      </c>
      <c r="K292">
        <v>2</v>
      </c>
      <c r="L292" s="45" t="s">
        <v>74</v>
      </c>
      <c r="M292" s="4">
        <v>8347.5</v>
      </c>
      <c r="N292" s="4">
        <f>M292/1.12</f>
        <v>7453.1249999999991</v>
      </c>
      <c r="O292" s="4">
        <f>M292*K292</f>
        <v>16695</v>
      </c>
      <c r="P292" s="47">
        <f t="shared" si="29"/>
        <v>14906.249999999998</v>
      </c>
      <c r="Q292" s="47">
        <f t="shared" si="27"/>
        <v>1788.7500000000018</v>
      </c>
      <c r="R292" s="19"/>
    </row>
    <row r="293" spans="1:18" x14ac:dyDescent="0.35">
      <c r="A293">
        <v>265</v>
      </c>
      <c r="E293" s="1">
        <v>5379</v>
      </c>
      <c r="F293" s="7">
        <v>30</v>
      </c>
      <c r="G293" s="70">
        <v>5576</v>
      </c>
      <c r="H293" s="71" t="s">
        <v>117</v>
      </c>
      <c r="I293" s="53" t="s">
        <v>81</v>
      </c>
      <c r="J293" s="67" t="s">
        <v>26</v>
      </c>
      <c r="K293" s="45">
        <v>2</v>
      </c>
      <c r="L293" s="45" t="s">
        <v>74</v>
      </c>
      <c r="M293" s="4">
        <v>10952.48</v>
      </c>
      <c r="N293" s="4">
        <f>M293/1.12</f>
        <v>9778.9999999999982</v>
      </c>
      <c r="O293" s="4">
        <f t="shared" ref="O293:O376" si="30">M293*K293</f>
        <v>21904.959999999999</v>
      </c>
      <c r="P293" s="47">
        <f t="shared" si="29"/>
        <v>19557.999999999996</v>
      </c>
      <c r="Q293" s="47">
        <f t="shared" si="27"/>
        <v>2346.9600000000028</v>
      </c>
      <c r="R293" s="19"/>
    </row>
    <row r="294" spans="1:18" x14ac:dyDescent="0.35">
      <c r="A294">
        <v>266</v>
      </c>
      <c r="E294" s="1">
        <v>5379</v>
      </c>
      <c r="F294" s="7">
        <v>30</v>
      </c>
      <c r="G294" s="70">
        <v>5576</v>
      </c>
      <c r="H294" s="71" t="s">
        <v>117</v>
      </c>
      <c r="I294" s="53" t="s">
        <v>81</v>
      </c>
      <c r="J294" s="67" t="s">
        <v>106</v>
      </c>
      <c r="K294">
        <v>1</v>
      </c>
      <c r="L294" s="45" t="s">
        <v>74</v>
      </c>
      <c r="M294" s="4">
        <v>5605.6</v>
      </c>
      <c r="N294" s="4">
        <f>M294/1.12</f>
        <v>5005</v>
      </c>
      <c r="O294" s="4">
        <f t="shared" si="30"/>
        <v>5605.6</v>
      </c>
      <c r="P294" s="47">
        <f t="shared" si="29"/>
        <v>5005</v>
      </c>
      <c r="Q294" s="47">
        <f t="shared" si="27"/>
        <v>600.60000000000036</v>
      </c>
      <c r="R294" s="19"/>
    </row>
    <row r="295" spans="1:18" x14ac:dyDescent="0.35">
      <c r="A295">
        <v>267</v>
      </c>
      <c r="E295" s="1">
        <v>5382</v>
      </c>
      <c r="F295" s="7">
        <v>30</v>
      </c>
      <c r="G295" s="70">
        <v>5577</v>
      </c>
      <c r="H295" s="71" t="s">
        <v>117</v>
      </c>
      <c r="I295" s="53" t="s">
        <v>101</v>
      </c>
      <c r="J295" s="67" t="s">
        <v>10</v>
      </c>
      <c r="K295">
        <v>80</v>
      </c>
      <c r="L295" s="45" t="s">
        <v>59</v>
      </c>
      <c r="M295" s="4">
        <v>710</v>
      </c>
      <c r="N295" s="4">
        <f>M295/1.12</f>
        <v>633.92857142857133</v>
      </c>
      <c r="O295" s="4">
        <f t="shared" si="30"/>
        <v>56800</v>
      </c>
      <c r="P295" s="47">
        <f t="shared" si="29"/>
        <v>50714.28571428571</v>
      </c>
      <c r="Q295" s="47">
        <f t="shared" si="27"/>
        <v>6085.7142857142899</v>
      </c>
      <c r="R295" s="19"/>
    </row>
    <row r="296" spans="1:18" x14ac:dyDescent="0.35">
      <c r="A296">
        <v>268</v>
      </c>
      <c r="E296" s="1">
        <v>5383</v>
      </c>
      <c r="F296" s="7">
        <v>30</v>
      </c>
      <c r="G296" s="70">
        <v>5578</v>
      </c>
      <c r="H296" s="71" t="s">
        <v>118</v>
      </c>
      <c r="I296" s="1" t="s">
        <v>119</v>
      </c>
      <c r="J296" s="67" t="s">
        <v>120</v>
      </c>
      <c r="K296">
        <v>1</v>
      </c>
      <c r="L296" s="45" t="s">
        <v>69</v>
      </c>
      <c r="M296" s="4">
        <v>273358.8</v>
      </c>
      <c r="N296" s="4">
        <f>M296/1.12</f>
        <v>244070.3571428571</v>
      </c>
      <c r="O296" s="4">
        <f t="shared" si="30"/>
        <v>273358.8</v>
      </c>
      <c r="P296" s="4">
        <f>N296*K296</f>
        <v>244070.3571428571</v>
      </c>
      <c r="Q296" s="47">
        <f>O296-P296</f>
        <v>29288.442857142887</v>
      </c>
      <c r="R296" s="19"/>
    </row>
    <row r="297" spans="1:18" x14ac:dyDescent="0.35">
      <c r="A297">
        <v>269</v>
      </c>
      <c r="E297" s="1">
        <v>5383</v>
      </c>
      <c r="F297" s="7">
        <v>30</v>
      </c>
      <c r="G297" s="70">
        <v>5578</v>
      </c>
      <c r="H297" s="71" t="s">
        <v>118</v>
      </c>
      <c r="I297" s="1" t="s">
        <v>119</v>
      </c>
      <c r="J297" t="s">
        <v>13</v>
      </c>
      <c r="K297">
        <v>7</v>
      </c>
      <c r="L297" s="45" t="s">
        <v>74</v>
      </c>
      <c r="M297" s="57">
        <f>234.02*30</f>
        <v>7020.6</v>
      </c>
      <c r="N297" s="4">
        <f>M297/1.12</f>
        <v>6268.3928571428569</v>
      </c>
      <c r="O297" s="4">
        <f t="shared" si="30"/>
        <v>49144.200000000004</v>
      </c>
      <c r="P297" s="47">
        <f t="shared" ref="P297:P299" si="31">K297*N297</f>
        <v>43878.75</v>
      </c>
      <c r="Q297" s="47">
        <f t="shared" ref="Q297:Q299" si="32">O297-P297</f>
        <v>5265.4500000000044</v>
      </c>
      <c r="R297" s="19"/>
    </row>
    <row r="298" spans="1:18" x14ac:dyDescent="0.35">
      <c r="A298">
        <v>270</v>
      </c>
      <c r="E298" s="1">
        <v>5383</v>
      </c>
      <c r="F298" s="7">
        <v>30</v>
      </c>
      <c r="G298" s="70">
        <v>5578</v>
      </c>
      <c r="H298" s="71" t="s">
        <v>118</v>
      </c>
      <c r="I298" s="1" t="s">
        <v>119</v>
      </c>
      <c r="J298" t="s">
        <v>14</v>
      </c>
      <c r="K298">
        <v>7</v>
      </c>
      <c r="L298" s="45" t="s">
        <v>74</v>
      </c>
      <c r="M298" s="57">
        <f>222.26*30</f>
        <v>6667.7999999999993</v>
      </c>
      <c r="N298" s="4">
        <f>M298/1.12</f>
        <v>5953.392857142856</v>
      </c>
      <c r="O298" s="4">
        <f t="shared" si="30"/>
        <v>46674.599999999991</v>
      </c>
      <c r="P298" s="47">
        <f t="shared" si="31"/>
        <v>41673.749999999993</v>
      </c>
      <c r="Q298" s="47">
        <f t="shared" si="32"/>
        <v>5000.8499999999985</v>
      </c>
      <c r="R298" s="19"/>
    </row>
    <row r="299" spans="1:18" x14ac:dyDescent="0.35">
      <c r="A299">
        <v>271</v>
      </c>
      <c r="E299" s="1">
        <v>5383</v>
      </c>
      <c r="F299" s="7">
        <v>30</v>
      </c>
      <c r="G299" s="70">
        <v>5578</v>
      </c>
      <c r="H299" s="71" t="s">
        <v>118</v>
      </c>
      <c r="I299" s="1" t="s">
        <v>119</v>
      </c>
      <c r="J299" t="s">
        <v>57</v>
      </c>
      <c r="K299">
        <v>8</v>
      </c>
      <c r="L299" s="45" t="s">
        <v>74</v>
      </c>
      <c r="M299" s="57">
        <v>6000</v>
      </c>
      <c r="N299" s="4">
        <f>M299/1.12</f>
        <v>5357.1428571428569</v>
      </c>
      <c r="O299" s="4">
        <f t="shared" si="30"/>
        <v>48000</v>
      </c>
      <c r="P299" s="47">
        <f t="shared" si="31"/>
        <v>42857.142857142855</v>
      </c>
      <c r="Q299" s="47">
        <f t="shared" si="32"/>
        <v>5142.8571428571449</v>
      </c>
      <c r="R299" s="19"/>
    </row>
    <row r="300" spans="1:18" x14ac:dyDescent="0.35">
      <c r="A300">
        <v>272</v>
      </c>
      <c r="E300" s="1">
        <v>5384</v>
      </c>
      <c r="F300" s="7">
        <v>60</v>
      </c>
      <c r="G300" s="70">
        <v>5579</v>
      </c>
      <c r="H300" s="71" t="s">
        <v>121</v>
      </c>
      <c r="I300" s="53" t="s">
        <v>61</v>
      </c>
      <c r="J300" s="67" t="s">
        <v>10</v>
      </c>
      <c r="K300">
        <v>1000</v>
      </c>
      <c r="L300" s="45" t="s">
        <v>59</v>
      </c>
      <c r="M300" s="4">
        <v>710</v>
      </c>
      <c r="N300" s="4">
        <f>M300/1.12</f>
        <v>633.92857142857133</v>
      </c>
      <c r="O300" s="4">
        <f t="shared" si="30"/>
        <v>710000</v>
      </c>
      <c r="P300" s="47">
        <f t="shared" si="29"/>
        <v>633928.57142857136</v>
      </c>
      <c r="Q300" s="47">
        <f t="shared" si="27"/>
        <v>76071.428571428638</v>
      </c>
      <c r="R300" s="19"/>
    </row>
    <row r="301" spans="1:18" s="69" customFormat="1" x14ac:dyDescent="0.35">
      <c r="A301">
        <v>273</v>
      </c>
      <c r="B301"/>
      <c r="C301"/>
      <c r="D301"/>
      <c r="E301" s="68">
        <v>5385</v>
      </c>
      <c r="F301" s="7">
        <v>30</v>
      </c>
      <c r="G301" s="70">
        <v>5580</v>
      </c>
      <c r="H301" s="71" t="s">
        <v>122</v>
      </c>
      <c r="I301" s="53" t="s">
        <v>109</v>
      </c>
      <c r="J301" s="67" t="s">
        <v>29</v>
      </c>
      <c r="K301">
        <v>300</v>
      </c>
      <c r="L301" s="45" t="s">
        <v>94</v>
      </c>
      <c r="M301" s="4">
        <v>311.04000000000002</v>
      </c>
      <c r="N301" s="4">
        <f>M301/1.12</f>
        <v>277.71428571428572</v>
      </c>
      <c r="O301" s="4">
        <f t="shared" si="30"/>
        <v>93312</v>
      </c>
      <c r="P301" s="47">
        <f t="shared" si="29"/>
        <v>83314.28571428571</v>
      </c>
      <c r="Q301" s="47">
        <f t="shared" si="27"/>
        <v>9997.7142857142899</v>
      </c>
      <c r="R301" s="19"/>
    </row>
    <row r="302" spans="1:18" s="69" customFormat="1" ht="14.25" customHeight="1" x14ac:dyDescent="0.35">
      <c r="A302">
        <v>274</v>
      </c>
      <c r="B302"/>
      <c r="C302"/>
      <c r="D302"/>
      <c r="E302" s="68">
        <v>5385</v>
      </c>
      <c r="F302" s="7">
        <v>30</v>
      </c>
      <c r="G302" s="70">
        <v>5580</v>
      </c>
      <c r="H302" s="71" t="s">
        <v>122</v>
      </c>
      <c r="I302" s="53" t="s">
        <v>109</v>
      </c>
      <c r="J302" s="67" t="s">
        <v>30</v>
      </c>
      <c r="K302">
        <v>240</v>
      </c>
      <c r="L302" s="45" t="s">
        <v>94</v>
      </c>
      <c r="M302" s="4">
        <v>294</v>
      </c>
      <c r="N302" s="4">
        <f>M302/1.12</f>
        <v>262.5</v>
      </c>
      <c r="O302" s="4">
        <f t="shared" si="30"/>
        <v>70560</v>
      </c>
      <c r="P302" s="47">
        <f t="shared" si="29"/>
        <v>63000</v>
      </c>
      <c r="Q302" s="47">
        <f t="shared" si="27"/>
        <v>7560</v>
      </c>
      <c r="R302" s="19"/>
    </row>
    <row r="303" spans="1:18" x14ac:dyDescent="0.35">
      <c r="A303">
        <v>275</v>
      </c>
      <c r="E303" s="1">
        <v>5386</v>
      </c>
      <c r="F303" s="7">
        <v>60</v>
      </c>
      <c r="G303" s="70">
        <v>5581</v>
      </c>
      <c r="H303" s="71" t="s">
        <v>123</v>
      </c>
      <c r="I303" s="53" t="s">
        <v>62</v>
      </c>
      <c r="J303" t="s">
        <v>13</v>
      </c>
      <c r="K303">
        <v>210</v>
      </c>
      <c r="L303" s="45" t="s">
        <v>94</v>
      </c>
      <c r="M303" s="4">
        <v>358.4</v>
      </c>
      <c r="N303" s="4">
        <f>M303/1.12</f>
        <v>319.99999999999994</v>
      </c>
      <c r="O303" s="4">
        <f t="shared" si="30"/>
        <v>75264</v>
      </c>
      <c r="P303" s="47">
        <f t="shared" si="29"/>
        <v>67199.999999999985</v>
      </c>
      <c r="Q303" s="47">
        <f t="shared" si="27"/>
        <v>8064.0000000000146</v>
      </c>
      <c r="R303" s="19"/>
    </row>
    <row r="304" spans="1:18" x14ac:dyDescent="0.35">
      <c r="A304">
        <v>276</v>
      </c>
      <c r="E304" s="1">
        <v>5387</v>
      </c>
      <c r="F304" s="7">
        <v>60</v>
      </c>
      <c r="G304" s="70">
        <v>5581</v>
      </c>
      <c r="H304" s="71" t="s">
        <v>123</v>
      </c>
      <c r="I304" s="53" t="s">
        <v>62</v>
      </c>
      <c r="J304" t="s">
        <v>14</v>
      </c>
      <c r="K304">
        <v>270</v>
      </c>
      <c r="L304" s="45" t="s">
        <v>94</v>
      </c>
      <c r="M304" s="4">
        <v>353.92</v>
      </c>
      <c r="N304" s="4">
        <f>M304/1.12</f>
        <v>316</v>
      </c>
      <c r="O304" s="4">
        <f t="shared" si="30"/>
        <v>95558.400000000009</v>
      </c>
      <c r="P304" s="47">
        <f t="shared" si="29"/>
        <v>85320</v>
      </c>
      <c r="Q304" s="47">
        <f t="shared" si="27"/>
        <v>10238.400000000009</v>
      </c>
      <c r="R304" s="19"/>
    </row>
    <row r="305" spans="1:18" x14ac:dyDescent="0.35">
      <c r="A305">
        <v>277</v>
      </c>
      <c r="E305" s="1">
        <v>5388</v>
      </c>
      <c r="F305" s="7">
        <v>60</v>
      </c>
      <c r="G305" s="70">
        <v>5581</v>
      </c>
      <c r="H305" s="71" t="s">
        <v>123</v>
      </c>
      <c r="I305" s="53" t="s">
        <v>62</v>
      </c>
      <c r="J305" t="s">
        <v>8</v>
      </c>
      <c r="K305">
        <v>325</v>
      </c>
      <c r="L305" s="45" t="s">
        <v>94</v>
      </c>
      <c r="M305" s="4">
        <v>364</v>
      </c>
      <c r="N305" s="4">
        <f>M305/1.12</f>
        <v>324.99999999999994</v>
      </c>
      <c r="O305" s="4">
        <f t="shared" si="30"/>
        <v>118300</v>
      </c>
      <c r="P305" s="47">
        <f t="shared" si="29"/>
        <v>105624.99999999999</v>
      </c>
      <c r="Q305" s="47">
        <f t="shared" si="27"/>
        <v>12675.000000000015</v>
      </c>
      <c r="R305" s="19"/>
    </row>
    <row r="306" spans="1:18" x14ac:dyDescent="0.35">
      <c r="A306">
        <v>278</v>
      </c>
      <c r="E306" s="1">
        <v>5389</v>
      </c>
      <c r="F306" s="7">
        <v>60</v>
      </c>
      <c r="G306" s="70">
        <v>5581</v>
      </c>
      <c r="H306" s="71" t="s">
        <v>123</v>
      </c>
      <c r="I306" s="53" t="s">
        <v>62</v>
      </c>
      <c r="J306" s="53" t="s">
        <v>65</v>
      </c>
      <c r="K306">
        <v>250</v>
      </c>
      <c r="L306" s="45" t="s">
        <v>94</v>
      </c>
      <c r="M306" s="4">
        <v>20.38</v>
      </c>
      <c r="N306" s="4">
        <f>M306/1.12</f>
        <v>18.196428571428569</v>
      </c>
      <c r="O306" s="4">
        <f t="shared" si="30"/>
        <v>5095</v>
      </c>
      <c r="P306" s="47">
        <f t="shared" si="29"/>
        <v>4549.1071428571422</v>
      </c>
      <c r="Q306" s="47">
        <f t="shared" si="27"/>
        <v>545.89285714285779</v>
      </c>
      <c r="R306" s="19"/>
    </row>
    <row r="307" spans="1:18" x14ac:dyDescent="0.35">
      <c r="A307">
        <v>279</v>
      </c>
      <c r="E307" s="1">
        <v>5390</v>
      </c>
      <c r="F307" s="7">
        <v>60</v>
      </c>
      <c r="G307" s="70">
        <v>5582</v>
      </c>
      <c r="H307" s="71" t="s">
        <v>123</v>
      </c>
      <c r="I307" s="53" t="s">
        <v>61</v>
      </c>
      <c r="J307" s="67" t="s">
        <v>18</v>
      </c>
      <c r="K307">
        <v>140</v>
      </c>
      <c r="L307" s="45" t="s">
        <v>59</v>
      </c>
      <c r="M307" s="4">
        <v>1700</v>
      </c>
      <c r="N307" s="4">
        <f>M307/1.12</f>
        <v>1517.8571428571427</v>
      </c>
      <c r="O307" s="4">
        <f t="shared" si="30"/>
        <v>238000</v>
      </c>
      <c r="P307" s="47">
        <f t="shared" si="29"/>
        <v>212499.99999999997</v>
      </c>
      <c r="Q307" s="47">
        <f t="shared" si="27"/>
        <v>25500.000000000029</v>
      </c>
      <c r="R307" s="19"/>
    </row>
    <row r="308" spans="1:18" x14ac:dyDescent="0.35">
      <c r="A308">
        <v>280</v>
      </c>
      <c r="D308">
        <v>264</v>
      </c>
      <c r="E308" s="1">
        <v>5391</v>
      </c>
      <c r="F308" s="7">
        <v>30</v>
      </c>
      <c r="G308" s="70">
        <v>5583</v>
      </c>
      <c r="H308" s="71" t="s">
        <v>124</v>
      </c>
      <c r="I308" s="53" t="s">
        <v>81</v>
      </c>
      <c r="J308" t="s">
        <v>13</v>
      </c>
      <c r="K308">
        <v>6</v>
      </c>
      <c r="L308" s="45" t="s">
        <v>74</v>
      </c>
      <c r="M308" s="4">
        <v>7020.72</v>
      </c>
      <c r="N308" s="4">
        <f>M308/1.12</f>
        <v>6268.5</v>
      </c>
      <c r="O308" s="4">
        <f t="shared" si="30"/>
        <v>42124.32</v>
      </c>
      <c r="P308" s="47">
        <f t="shared" si="29"/>
        <v>37611</v>
      </c>
      <c r="Q308" s="47">
        <f t="shared" si="27"/>
        <v>4513.32</v>
      </c>
      <c r="R308" s="19"/>
    </row>
    <row r="309" spans="1:18" x14ac:dyDescent="0.35">
      <c r="A309">
        <v>281</v>
      </c>
      <c r="D309">
        <v>264</v>
      </c>
      <c r="E309" s="1">
        <v>5391</v>
      </c>
      <c r="F309" s="7">
        <v>30</v>
      </c>
      <c r="G309" s="70">
        <v>5583</v>
      </c>
      <c r="H309" s="71" t="s">
        <v>124</v>
      </c>
      <c r="I309" s="53" t="s">
        <v>81</v>
      </c>
      <c r="J309" t="s">
        <v>14</v>
      </c>
      <c r="K309">
        <v>6</v>
      </c>
      <c r="L309" s="45" t="s">
        <v>74</v>
      </c>
      <c r="M309" s="4">
        <v>6667.92</v>
      </c>
      <c r="N309" s="4">
        <f>M309/1.12</f>
        <v>5953.4999999999991</v>
      </c>
      <c r="O309" s="4">
        <f t="shared" si="30"/>
        <v>40007.520000000004</v>
      </c>
      <c r="P309" s="47">
        <f t="shared" si="29"/>
        <v>35720.999999999993</v>
      </c>
      <c r="Q309" s="47">
        <f t="shared" si="27"/>
        <v>4286.5200000000114</v>
      </c>
      <c r="R309" s="19"/>
    </row>
    <row r="310" spans="1:18" x14ac:dyDescent="0.35">
      <c r="A310">
        <v>282</v>
      </c>
      <c r="D310">
        <v>264</v>
      </c>
      <c r="E310" s="1">
        <v>5391</v>
      </c>
      <c r="F310" s="7">
        <v>30</v>
      </c>
      <c r="G310" s="70">
        <v>5583</v>
      </c>
      <c r="H310" s="71" t="s">
        <v>124</v>
      </c>
      <c r="I310" s="53" t="s">
        <v>81</v>
      </c>
      <c r="J310" t="s">
        <v>57</v>
      </c>
      <c r="K310">
        <v>1</v>
      </c>
      <c r="L310" s="45" t="s">
        <v>74</v>
      </c>
      <c r="M310" s="4">
        <v>6000</v>
      </c>
      <c r="N310" s="4">
        <f>M310/1.12</f>
        <v>5357.1428571428569</v>
      </c>
      <c r="O310" s="4">
        <f t="shared" si="30"/>
        <v>6000</v>
      </c>
      <c r="P310" s="47">
        <f t="shared" si="29"/>
        <v>5357.1428571428569</v>
      </c>
      <c r="Q310" s="47">
        <f t="shared" si="27"/>
        <v>642.85714285714312</v>
      </c>
      <c r="R310" s="19"/>
    </row>
    <row r="311" spans="1:18" x14ac:dyDescent="0.35">
      <c r="A311">
        <v>283</v>
      </c>
      <c r="D311">
        <v>264</v>
      </c>
      <c r="E311" s="1">
        <v>5391</v>
      </c>
      <c r="F311" s="7">
        <v>30</v>
      </c>
      <c r="G311" s="70">
        <v>5583</v>
      </c>
      <c r="H311" s="71" t="s">
        <v>124</v>
      </c>
      <c r="I311" s="53" t="s">
        <v>81</v>
      </c>
      <c r="J311" s="67" t="s">
        <v>25</v>
      </c>
      <c r="K311">
        <v>6</v>
      </c>
      <c r="L311" s="45" t="s">
        <v>74</v>
      </c>
      <c r="M311" s="4">
        <v>3360</v>
      </c>
      <c r="N311" s="4">
        <f>M311/1.12</f>
        <v>2999.9999999999995</v>
      </c>
      <c r="O311" s="4">
        <f t="shared" si="30"/>
        <v>20160</v>
      </c>
      <c r="P311" s="47">
        <f t="shared" si="29"/>
        <v>17999.999999999996</v>
      </c>
      <c r="Q311" s="47">
        <f t="shared" si="27"/>
        <v>2160.0000000000036</v>
      </c>
      <c r="R311" s="19"/>
    </row>
    <row r="312" spans="1:18" x14ac:dyDescent="0.35">
      <c r="A312">
        <v>284</v>
      </c>
      <c r="D312">
        <v>264</v>
      </c>
      <c r="E312" s="1">
        <v>5391</v>
      </c>
      <c r="F312" s="7">
        <v>30</v>
      </c>
      <c r="G312" s="70">
        <v>5583</v>
      </c>
      <c r="H312" s="71" t="s">
        <v>124</v>
      </c>
      <c r="I312" s="53" t="s">
        <v>81</v>
      </c>
      <c r="J312" s="67" t="s">
        <v>30</v>
      </c>
      <c r="K312">
        <v>2</v>
      </c>
      <c r="L312" s="45" t="s">
        <v>74</v>
      </c>
      <c r="M312" s="4">
        <v>5600</v>
      </c>
      <c r="N312" s="4">
        <f>M312/1.12</f>
        <v>4999.9999999999991</v>
      </c>
      <c r="O312" s="4">
        <f t="shared" si="30"/>
        <v>11200</v>
      </c>
      <c r="P312" s="47">
        <f t="shared" si="29"/>
        <v>9999.9999999999982</v>
      </c>
      <c r="Q312" s="47">
        <f t="shared" si="27"/>
        <v>1200.0000000000018</v>
      </c>
      <c r="R312" s="19"/>
    </row>
    <row r="313" spans="1:18" x14ac:dyDescent="0.35">
      <c r="A313">
        <v>285</v>
      </c>
      <c r="D313">
        <v>265</v>
      </c>
      <c r="E313" s="1">
        <v>5392</v>
      </c>
      <c r="F313" s="7">
        <v>30</v>
      </c>
      <c r="G313" s="70">
        <v>5584</v>
      </c>
      <c r="H313" s="71" t="s">
        <v>124</v>
      </c>
      <c r="I313" s="53" t="s">
        <v>81</v>
      </c>
      <c r="J313" s="67" t="s">
        <v>26</v>
      </c>
      <c r="K313">
        <v>10</v>
      </c>
      <c r="L313" s="45" t="s">
        <v>74</v>
      </c>
      <c r="M313" s="4">
        <v>10952.48</v>
      </c>
      <c r="N313" s="4">
        <f>M313/1.12</f>
        <v>9778.9999999999982</v>
      </c>
      <c r="O313" s="4">
        <f>M313*K313</f>
        <v>109524.79999999999</v>
      </c>
      <c r="P313" s="47">
        <f t="shared" si="29"/>
        <v>97789.999999999985</v>
      </c>
      <c r="Q313" s="47">
        <f t="shared" si="27"/>
        <v>11734.800000000003</v>
      </c>
      <c r="R313" s="19"/>
    </row>
    <row r="314" spans="1:18" x14ac:dyDescent="0.35">
      <c r="A314">
        <v>286</v>
      </c>
      <c r="D314">
        <v>265</v>
      </c>
      <c r="E314" s="1">
        <v>5392</v>
      </c>
      <c r="F314" s="7">
        <v>30</v>
      </c>
      <c r="G314" s="70">
        <v>5584</v>
      </c>
      <c r="H314" s="71" t="s">
        <v>124</v>
      </c>
      <c r="I314" s="53" t="s">
        <v>81</v>
      </c>
      <c r="J314" s="67" t="s">
        <v>106</v>
      </c>
      <c r="K314">
        <v>2</v>
      </c>
      <c r="L314" s="45" t="s">
        <v>74</v>
      </c>
      <c r="M314" s="4">
        <v>5605.6</v>
      </c>
      <c r="N314" s="4">
        <f>M314/1.12</f>
        <v>5005</v>
      </c>
      <c r="O314" s="4">
        <f>M314*K314</f>
        <v>11211.2</v>
      </c>
      <c r="P314" s="47">
        <f t="shared" si="29"/>
        <v>10010</v>
      </c>
      <c r="Q314" s="47">
        <f t="shared" si="27"/>
        <v>1201.2000000000007</v>
      </c>
      <c r="R314" s="19"/>
    </row>
    <row r="315" spans="1:18" x14ac:dyDescent="0.35">
      <c r="A315">
        <v>287</v>
      </c>
      <c r="E315" s="1">
        <v>5393</v>
      </c>
      <c r="F315" s="7">
        <v>30</v>
      </c>
      <c r="G315" s="70">
        <v>5585</v>
      </c>
      <c r="H315" s="71" t="s">
        <v>125</v>
      </c>
      <c r="I315" s="53" t="s">
        <v>101</v>
      </c>
      <c r="J315" s="67" t="s">
        <v>10</v>
      </c>
      <c r="K315" s="45">
        <v>80</v>
      </c>
      <c r="L315" s="45" t="s">
        <v>59</v>
      </c>
      <c r="M315" s="4">
        <v>710</v>
      </c>
      <c r="N315" s="4">
        <f>M315/1.12</f>
        <v>633.92857142857133</v>
      </c>
      <c r="O315" s="4">
        <f t="shared" si="30"/>
        <v>56800</v>
      </c>
      <c r="P315" s="47">
        <f t="shared" si="29"/>
        <v>50714.28571428571</v>
      </c>
      <c r="Q315" s="47">
        <f t="shared" si="27"/>
        <v>6085.7142857142899</v>
      </c>
      <c r="R315" s="19"/>
    </row>
    <row r="316" spans="1:18" x14ac:dyDescent="0.35">
      <c r="A316">
        <v>288</v>
      </c>
      <c r="E316" s="1">
        <v>5394</v>
      </c>
      <c r="F316" s="7">
        <v>30</v>
      </c>
      <c r="G316" s="70">
        <v>5586</v>
      </c>
      <c r="H316" s="71" t="s">
        <v>126</v>
      </c>
      <c r="I316" s="53" t="s">
        <v>109</v>
      </c>
      <c r="J316" t="s">
        <v>57</v>
      </c>
      <c r="K316">
        <v>125</v>
      </c>
      <c r="L316" s="45" t="s">
        <v>94</v>
      </c>
      <c r="M316" s="4">
        <v>291.2</v>
      </c>
      <c r="N316" s="4">
        <f>M316/1.12</f>
        <v>259.99999999999994</v>
      </c>
      <c r="O316" s="4">
        <f t="shared" si="30"/>
        <v>36400</v>
      </c>
      <c r="P316" s="47">
        <f t="shared" si="29"/>
        <v>32499.999999999993</v>
      </c>
      <c r="Q316" s="47">
        <f t="shared" si="27"/>
        <v>3900.0000000000073</v>
      </c>
      <c r="R316" s="19"/>
    </row>
    <row r="317" spans="1:18" x14ac:dyDescent="0.35">
      <c r="A317">
        <v>289</v>
      </c>
      <c r="E317" s="1">
        <v>5395</v>
      </c>
      <c r="F317" s="7"/>
      <c r="G317" s="70">
        <v>5587</v>
      </c>
      <c r="H317" s="71" t="s">
        <v>126</v>
      </c>
      <c r="I317" s="53" t="s">
        <v>80</v>
      </c>
      <c r="J317" s="67" t="s">
        <v>10</v>
      </c>
      <c r="K317">
        <v>200</v>
      </c>
      <c r="L317" s="45" t="s">
        <v>59</v>
      </c>
      <c r="M317" s="4">
        <v>1300</v>
      </c>
      <c r="N317" s="4">
        <f>M317/1.12</f>
        <v>1160.7142857142856</v>
      </c>
      <c r="O317" s="4">
        <f t="shared" si="30"/>
        <v>260000</v>
      </c>
      <c r="P317" s="47">
        <f t="shared" si="29"/>
        <v>232142.8571428571</v>
      </c>
      <c r="Q317" s="47">
        <f t="shared" si="27"/>
        <v>27857.142857142899</v>
      </c>
      <c r="R317" s="19"/>
    </row>
    <row r="318" spans="1:18" x14ac:dyDescent="0.35">
      <c r="A318">
        <v>290</v>
      </c>
      <c r="E318" s="1">
        <v>5396</v>
      </c>
      <c r="F318" s="7">
        <v>30</v>
      </c>
      <c r="G318" s="70">
        <v>5588</v>
      </c>
      <c r="H318" s="71" t="s">
        <v>126</v>
      </c>
      <c r="I318" s="53" t="s">
        <v>101</v>
      </c>
      <c r="J318" s="67" t="s">
        <v>18</v>
      </c>
      <c r="K318">
        <v>16</v>
      </c>
      <c r="L318" s="45" t="s">
        <v>59</v>
      </c>
      <c r="M318" s="4">
        <v>1765</v>
      </c>
      <c r="N318" s="4">
        <f>M318/1.12</f>
        <v>1575.8928571428569</v>
      </c>
      <c r="O318" s="4">
        <f t="shared" si="30"/>
        <v>28240</v>
      </c>
      <c r="P318" s="47">
        <f t="shared" si="29"/>
        <v>25214.28571428571</v>
      </c>
      <c r="Q318" s="47">
        <f t="shared" si="27"/>
        <v>3025.7142857142899</v>
      </c>
      <c r="R318" s="19"/>
    </row>
    <row r="319" spans="1:18" x14ac:dyDescent="0.35">
      <c r="A319">
        <v>291</v>
      </c>
      <c r="D319" t="s">
        <v>127</v>
      </c>
      <c r="E319" s="1">
        <v>5397</v>
      </c>
      <c r="F319" s="7">
        <v>30</v>
      </c>
      <c r="G319" s="70">
        <v>5589</v>
      </c>
      <c r="H319" s="71" t="s">
        <v>128</v>
      </c>
      <c r="I319" s="53" t="s">
        <v>81</v>
      </c>
      <c r="J319" s="67" t="s">
        <v>26</v>
      </c>
      <c r="K319">
        <v>4</v>
      </c>
      <c r="L319" s="45" t="s">
        <v>74</v>
      </c>
      <c r="M319" s="4">
        <v>10952.48</v>
      </c>
      <c r="N319" s="4">
        <f>M319/1.12</f>
        <v>9778.9999999999982</v>
      </c>
      <c r="O319" s="4">
        <f t="shared" si="30"/>
        <v>43809.919999999998</v>
      </c>
      <c r="P319" s="47">
        <f t="shared" si="29"/>
        <v>39115.999999999993</v>
      </c>
      <c r="Q319" s="47">
        <f t="shared" si="27"/>
        <v>4693.9200000000055</v>
      </c>
      <c r="R319" s="19"/>
    </row>
    <row r="320" spans="1:18" x14ac:dyDescent="0.35">
      <c r="A320">
        <v>292</v>
      </c>
      <c r="E320" s="1">
        <v>5398</v>
      </c>
      <c r="F320" s="7">
        <v>30</v>
      </c>
      <c r="G320" s="70">
        <v>5590</v>
      </c>
      <c r="H320" s="71" t="s">
        <v>129</v>
      </c>
      <c r="I320" s="53" t="s">
        <v>73</v>
      </c>
      <c r="J320" s="67" t="s">
        <v>26</v>
      </c>
      <c r="K320">
        <v>6</v>
      </c>
      <c r="L320" s="45" t="s">
        <v>74</v>
      </c>
      <c r="M320" s="4">
        <v>15950</v>
      </c>
      <c r="N320" s="4">
        <f>M320/1.12</f>
        <v>14241.071428571428</v>
      </c>
      <c r="O320" s="4">
        <f t="shared" si="30"/>
        <v>95700</v>
      </c>
      <c r="P320" s="47">
        <f t="shared" si="29"/>
        <v>85446.428571428565</v>
      </c>
      <c r="Q320" s="47">
        <f t="shared" si="27"/>
        <v>10253.571428571435</v>
      </c>
      <c r="R320" s="19"/>
    </row>
    <row r="321" spans="1:18" x14ac:dyDescent="0.35">
      <c r="A321">
        <v>293</v>
      </c>
      <c r="E321" s="1">
        <v>5398</v>
      </c>
      <c r="F321" s="7">
        <v>30</v>
      </c>
      <c r="G321" s="70">
        <v>5590</v>
      </c>
      <c r="H321" s="71" t="s">
        <v>129</v>
      </c>
      <c r="I321" s="53" t="s">
        <v>73</v>
      </c>
      <c r="J321" s="67" t="s">
        <v>106</v>
      </c>
      <c r="K321">
        <v>2</v>
      </c>
      <c r="L321" s="45" t="s">
        <v>74</v>
      </c>
      <c r="M321" s="4">
        <v>8347.5</v>
      </c>
      <c r="N321" s="4">
        <f>M321/1.12</f>
        <v>7453.1249999999991</v>
      </c>
      <c r="O321" s="4">
        <f t="shared" si="30"/>
        <v>16695</v>
      </c>
      <c r="P321" s="47">
        <f t="shared" si="29"/>
        <v>14906.249999999998</v>
      </c>
      <c r="Q321" s="47">
        <f t="shared" si="27"/>
        <v>1788.7500000000018</v>
      </c>
      <c r="R321" s="19"/>
    </row>
    <row r="322" spans="1:18" x14ac:dyDescent="0.35">
      <c r="A322">
        <v>294</v>
      </c>
      <c r="E322" s="1">
        <v>5402</v>
      </c>
      <c r="F322" s="7">
        <v>30</v>
      </c>
      <c r="G322" s="70">
        <v>5591</v>
      </c>
      <c r="H322" s="71" t="s">
        <v>130</v>
      </c>
      <c r="I322" s="53" t="s">
        <v>58</v>
      </c>
      <c r="J322" s="67" t="s">
        <v>10</v>
      </c>
      <c r="K322" s="45">
        <v>250</v>
      </c>
      <c r="L322" s="45" t="s">
        <v>59</v>
      </c>
      <c r="M322" s="4">
        <v>710</v>
      </c>
      <c r="N322" s="4">
        <f>M322/1.12</f>
        <v>633.92857142857133</v>
      </c>
      <c r="O322" s="4">
        <f t="shared" si="30"/>
        <v>177500</v>
      </c>
      <c r="P322" s="47">
        <f t="shared" si="29"/>
        <v>158482.14285714284</v>
      </c>
      <c r="Q322" s="47">
        <f t="shared" si="27"/>
        <v>19017.857142857159</v>
      </c>
      <c r="R322" s="19"/>
    </row>
    <row r="323" spans="1:18" x14ac:dyDescent="0.35">
      <c r="A323">
        <v>295</v>
      </c>
      <c r="E323" s="1">
        <v>5403</v>
      </c>
      <c r="F323" s="7">
        <v>30</v>
      </c>
      <c r="G323" s="70">
        <v>5592</v>
      </c>
      <c r="H323" s="71" t="s">
        <v>130</v>
      </c>
      <c r="I323" s="53" t="s">
        <v>58</v>
      </c>
      <c r="J323" s="67" t="s">
        <v>10</v>
      </c>
      <c r="K323" s="45">
        <v>250</v>
      </c>
      <c r="L323" s="45" t="s">
        <v>59</v>
      </c>
      <c r="M323" s="4">
        <v>710</v>
      </c>
      <c r="N323" s="4">
        <f>M323/1.12</f>
        <v>633.92857142857133</v>
      </c>
      <c r="O323" s="4">
        <f t="shared" si="30"/>
        <v>177500</v>
      </c>
      <c r="P323" s="47">
        <f t="shared" si="29"/>
        <v>158482.14285714284</v>
      </c>
      <c r="Q323" s="47">
        <f t="shared" si="27"/>
        <v>19017.857142857159</v>
      </c>
      <c r="R323" s="19"/>
    </row>
    <row r="324" spans="1:18" x14ac:dyDescent="0.35">
      <c r="A324">
        <v>296</v>
      </c>
      <c r="E324" s="1">
        <v>5404</v>
      </c>
      <c r="F324" s="7">
        <v>30</v>
      </c>
      <c r="G324" s="70">
        <v>5593</v>
      </c>
      <c r="H324" s="71" t="s">
        <v>130</v>
      </c>
      <c r="I324" s="53" t="s">
        <v>58</v>
      </c>
      <c r="J324" s="67" t="s">
        <v>18</v>
      </c>
      <c r="K324">
        <v>70</v>
      </c>
      <c r="L324" s="45" t="s">
        <v>59</v>
      </c>
      <c r="M324" s="4">
        <v>1765</v>
      </c>
      <c r="N324" s="4">
        <f>M324/1.12</f>
        <v>1575.8928571428569</v>
      </c>
      <c r="O324" s="4">
        <f t="shared" si="30"/>
        <v>123550</v>
      </c>
      <c r="P324" s="47">
        <f t="shared" si="29"/>
        <v>110312.49999999999</v>
      </c>
      <c r="Q324" s="47">
        <f t="shared" si="27"/>
        <v>13237.500000000015</v>
      </c>
      <c r="R324" s="19"/>
    </row>
    <row r="325" spans="1:18" x14ac:dyDescent="0.35">
      <c r="A325">
        <v>297</v>
      </c>
      <c r="E325" s="1">
        <v>5405</v>
      </c>
      <c r="F325" s="7">
        <v>30</v>
      </c>
      <c r="G325" s="70">
        <v>5594</v>
      </c>
      <c r="H325" s="71" t="s">
        <v>131</v>
      </c>
      <c r="I325" s="53" t="s">
        <v>72</v>
      </c>
      <c r="J325" t="s">
        <v>13</v>
      </c>
      <c r="K325">
        <v>660</v>
      </c>
      <c r="L325" s="45" t="s">
        <v>94</v>
      </c>
      <c r="N325" s="4">
        <v>300.5</v>
      </c>
      <c r="O325" s="4"/>
      <c r="P325" s="4">
        <f>N325*K325</f>
        <v>198330</v>
      </c>
      <c r="Q325" s="47">
        <v>0</v>
      </c>
      <c r="R325" s="19"/>
    </row>
    <row r="326" spans="1:18" x14ac:dyDescent="0.35">
      <c r="A326">
        <v>298</v>
      </c>
      <c r="E326" s="1">
        <v>5405</v>
      </c>
      <c r="F326" s="7">
        <v>30</v>
      </c>
      <c r="G326" s="70">
        <v>5594</v>
      </c>
      <c r="H326" s="71" t="s">
        <v>131</v>
      </c>
      <c r="I326" s="53" t="s">
        <v>72</v>
      </c>
      <c r="J326" t="s">
        <v>14</v>
      </c>
      <c r="K326">
        <v>720</v>
      </c>
      <c r="L326" s="45" t="s">
        <v>94</v>
      </c>
      <c r="N326" s="4">
        <v>288.5</v>
      </c>
      <c r="O326" s="4"/>
      <c r="P326" s="4">
        <f>N326*K326</f>
        <v>207720</v>
      </c>
      <c r="Q326" s="47">
        <v>0</v>
      </c>
      <c r="R326" s="19"/>
    </row>
    <row r="327" spans="1:18" x14ac:dyDescent="0.35">
      <c r="A327">
        <v>299</v>
      </c>
      <c r="E327" s="1">
        <v>5405</v>
      </c>
      <c r="F327" s="7">
        <v>30</v>
      </c>
      <c r="G327" s="70">
        <v>5594</v>
      </c>
      <c r="H327" s="71" t="s">
        <v>131</v>
      </c>
      <c r="I327" s="53" t="s">
        <v>72</v>
      </c>
      <c r="J327" t="s">
        <v>57</v>
      </c>
      <c r="K327">
        <v>700</v>
      </c>
      <c r="L327" s="45" t="s">
        <v>94</v>
      </c>
      <c r="N327" s="4">
        <v>304.75</v>
      </c>
      <c r="O327" s="4"/>
      <c r="P327" s="4">
        <f>N327*K327</f>
        <v>213325</v>
      </c>
      <c r="Q327" s="47">
        <v>0</v>
      </c>
      <c r="R327" s="19"/>
    </row>
    <row r="328" spans="1:18" x14ac:dyDescent="0.35">
      <c r="A328">
        <v>300</v>
      </c>
      <c r="E328" s="1">
        <v>5406</v>
      </c>
      <c r="F328" s="7">
        <v>30</v>
      </c>
      <c r="G328" s="70">
        <v>5595</v>
      </c>
      <c r="H328" s="71" t="s">
        <v>131</v>
      </c>
      <c r="I328" s="53" t="s">
        <v>132</v>
      </c>
      <c r="J328" s="53" t="s">
        <v>22</v>
      </c>
      <c r="K328">
        <v>10</v>
      </c>
      <c r="L328" s="45" t="s">
        <v>74</v>
      </c>
      <c r="M328" s="4">
        <v>10214.4</v>
      </c>
      <c r="N328" s="4">
        <f>M328/1.12</f>
        <v>9119.9999999999982</v>
      </c>
      <c r="O328" s="4">
        <f t="shared" si="30"/>
        <v>102144</v>
      </c>
      <c r="P328" s="47">
        <f t="shared" si="29"/>
        <v>91199.999999999985</v>
      </c>
      <c r="Q328" s="47">
        <f t="shared" ref="Q328:Q391" si="33">O328-P328</f>
        <v>10944.000000000015</v>
      </c>
      <c r="R328" s="19"/>
    </row>
    <row r="329" spans="1:18" x14ac:dyDescent="0.35">
      <c r="A329">
        <v>301</v>
      </c>
      <c r="E329" s="1">
        <v>5407</v>
      </c>
      <c r="F329" s="7">
        <v>30</v>
      </c>
      <c r="G329" s="70">
        <v>5596</v>
      </c>
      <c r="H329" s="71" t="s">
        <v>133</v>
      </c>
      <c r="I329" s="53" t="s">
        <v>61</v>
      </c>
      <c r="J329" s="67" t="s">
        <v>10</v>
      </c>
      <c r="K329">
        <v>1000</v>
      </c>
      <c r="L329" s="45" t="s">
        <v>59</v>
      </c>
      <c r="M329" s="4">
        <v>710</v>
      </c>
      <c r="N329" s="4">
        <f>M329/1.12</f>
        <v>633.92857142857133</v>
      </c>
      <c r="O329" s="4">
        <f>M329*K329</f>
        <v>710000</v>
      </c>
      <c r="P329" s="47">
        <f t="shared" si="29"/>
        <v>633928.57142857136</v>
      </c>
      <c r="Q329" s="47">
        <f t="shared" si="33"/>
        <v>76071.428571428638</v>
      </c>
      <c r="R329" s="19"/>
    </row>
    <row r="330" spans="1:18" x14ac:dyDescent="0.35">
      <c r="A330">
        <v>302</v>
      </c>
      <c r="E330" s="1">
        <v>5408</v>
      </c>
      <c r="F330" s="7">
        <v>30</v>
      </c>
      <c r="G330" s="70">
        <v>5597</v>
      </c>
      <c r="H330" s="71" t="s">
        <v>133</v>
      </c>
      <c r="I330" s="53" t="s">
        <v>108</v>
      </c>
      <c r="J330" t="s">
        <v>14</v>
      </c>
      <c r="K330" s="45">
        <v>120</v>
      </c>
      <c r="L330" s="45" t="s">
        <v>94</v>
      </c>
      <c r="M330" s="4">
        <v>290.3</v>
      </c>
      <c r="N330" s="4">
        <f>M330/1.12</f>
        <v>259.19642857142856</v>
      </c>
      <c r="O330" s="4">
        <f t="shared" si="30"/>
        <v>34836</v>
      </c>
      <c r="P330" s="47">
        <f t="shared" si="29"/>
        <v>31103.571428571428</v>
      </c>
      <c r="Q330" s="47">
        <f t="shared" si="33"/>
        <v>3732.4285714285725</v>
      </c>
      <c r="R330" s="19"/>
    </row>
    <row r="331" spans="1:18" x14ac:dyDescent="0.35">
      <c r="A331">
        <v>303</v>
      </c>
      <c r="E331" s="1">
        <v>5409</v>
      </c>
      <c r="F331" s="7"/>
      <c r="G331" s="70">
        <v>5598</v>
      </c>
      <c r="H331" s="71" t="s">
        <v>134</v>
      </c>
      <c r="I331" s="53" t="s">
        <v>93</v>
      </c>
      <c r="J331" s="67" t="s">
        <v>30</v>
      </c>
      <c r="K331">
        <v>40</v>
      </c>
      <c r="L331" s="45" t="s">
        <v>94</v>
      </c>
      <c r="M331" s="4">
        <v>294</v>
      </c>
      <c r="N331" s="4">
        <f>M331/1.12</f>
        <v>262.5</v>
      </c>
      <c r="O331" s="4">
        <f t="shared" si="30"/>
        <v>11760</v>
      </c>
      <c r="P331" s="47">
        <f t="shared" si="29"/>
        <v>10500</v>
      </c>
      <c r="Q331" s="47">
        <f t="shared" si="33"/>
        <v>1260</v>
      </c>
      <c r="R331" s="19"/>
    </row>
    <row r="332" spans="1:18" x14ac:dyDescent="0.35">
      <c r="A332">
        <v>304</v>
      </c>
      <c r="E332" s="1">
        <v>5409</v>
      </c>
      <c r="F332" s="7"/>
      <c r="G332" s="70">
        <v>5598</v>
      </c>
      <c r="H332" s="71" t="s">
        <v>134</v>
      </c>
      <c r="I332" s="53" t="s">
        <v>93</v>
      </c>
      <c r="J332" s="67" t="s">
        <v>25</v>
      </c>
      <c r="K332">
        <v>40</v>
      </c>
      <c r="L332" s="45" t="s">
        <v>94</v>
      </c>
      <c r="M332" s="4">
        <v>168</v>
      </c>
      <c r="N332" s="4">
        <f>M332/1.12</f>
        <v>149.99999999999997</v>
      </c>
      <c r="O332" s="4">
        <f t="shared" si="30"/>
        <v>6720</v>
      </c>
      <c r="P332" s="47">
        <f t="shared" si="29"/>
        <v>5999.9999999999991</v>
      </c>
      <c r="Q332" s="47">
        <f t="shared" si="33"/>
        <v>720.00000000000091</v>
      </c>
      <c r="R332" s="19"/>
    </row>
    <row r="333" spans="1:18" x14ac:dyDescent="0.35">
      <c r="A333">
        <v>305</v>
      </c>
      <c r="E333" s="1">
        <v>5410</v>
      </c>
      <c r="F333" s="7">
        <v>60</v>
      </c>
      <c r="G333" s="70">
        <v>5599</v>
      </c>
      <c r="H333" s="71" t="s">
        <v>135</v>
      </c>
      <c r="I333" s="53" t="s">
        <v>62</v>
      </c>
      <c r="J333" t="s">
        <v>13</v>
      </c>
      <c r="K333">
        <v>240</v>
      </c>
      <c r="L333" s="45" t="s">
        <v>94</v>
      </c>
      <c r="M333" s="4">
        <v>358.4</v>
      </c>
      <c r="N333" s="4">
        <f>M333/1.12</f>
        <v>319.99999999999994</v>
      </c>
      <c r="O333" s="4">
        <f t="shared" si="30"/>
        <v>86016</v>
      </c>
      <c r="P333" s="47">
        <f t="shared" si="29"/>
        <v>76799.999999999985</v>
      </c>
      <c r="Q333" s="47">
        <f t="shared" si="33"/>
        <v>9216.0000000000146</v>
      </c>
      <c r="R333" s="19"/>
    </row>
    <row r="334" spans="1:18" x14ac:dyDescent="0.35">
      <c r="A334">
        <v>306</v>
      </c>
      <c r="E334" s="1">
        <v>5411</v>
      </c>
      <c r="F334" s="7">
        <v>60</v>
      </c>
      <c r="G334" s="70">
        <v>5599</v>
      </c>
      <c r="H334" s="71" t="s">
        <v>135</v>
      </c>
      <c r="I334" s="53" t="s">
        <v>62</v>
      </c>
      <c r="J334" t="s">
        <v>14</v>
      </c>
      <c r="K334">
        <v>270</v>
      </c>
      <c r="L334" s="45" t="s">
        <v>94</v>
      </c>
      <c r="M334" s="4">
        <v>353.92</v>
      </c>
      <c r="N334" s="4">
        <f>M334/1.12</f>
        <v>316</v>
      </c>
      <c r="O334" s="4">
        <f t="shared" si="30"/>
        <v>95558.400000000009</v>
      </c>
      <c r="P334" s="47">
        <f t="shared" si="29"/>
        <v>85320</v>
      </c>
      <c r="Q334" s="47">
        <f t="shared" si="33"/>
        <v>10238.400000000009</v>
      </c>
      <c r="R334" s="19"/>
    </row>
    <row r="335" spans="1:18" x14ac:dyDescent="0.35">
      <c r="A335">
        <v>307</v>
      </c>
      <c r="E335" s="1">
        <v>5412</v>
      </c>
      <c r="F335" s="7">
        <v>60</v>
      </c>
      <c r="G335" s="70">
        <v>5599</v>
      </c>
      <c r="H335" s="71" t="s">
        <v>135</v>
      </c>
      <c r="I335" s="53" t="s">
        <v>62</v>
      </c>
      <c r="J335" t="s">
        <v>8</v>
      </c>
      <c r="K335">
        <v>350</v>
      </c>
      <c r="L335" s="45" t="s">
        <v>94</v>
      </c>
      <c r="M335" s="4">
        <v>364</v>
      </c>
      <c r="N335" s="4">
        <f>M335/1.12</f>
        <v>324.99999999999994</v>
      </c>
      <c r="O335" s="4">
        <f t="shared" si="30"/>
        <v>127400</v>
      </c>
      <c r="P335" s="47">
        <f t="shared" si="29"/>
        <v>113749.99999999999</v>
      </c>
      <c r="Q335" s="47">
        <f t="shared" si="33"/>
        <v>13650.000000000015</v>
      </c>
      <c r="R335" s="19"/>
    </row>
    <row r="336" spans="1:18" x14ac:dyDescent="0.35">
      <c r="A336">
        <v>308</v>
      </c>
      <c r="E336" s="1">
        <v>5413</v>
      </c>
      <c r="F336" s="7">
        <v>60</v>
      </c>
      <c r="G336" s="70">
        <v>5599</v>
      </c>
      <c r="H336" s="71" t="s">
        <v>135</v>
      </c>
      <c r="I336" s="53" t="s">
        <v>62</v>
      </c>
      <c r="J336" s="53" t="s">
        <v>65</v>
      </c>
      <c r="K336">
        <v>300</v>
      </c>
      <c r="L336" s="45" t="s">
        <v>94</v>
      </c>
      <c r="M336" s="4">
        <v>20.38</v>
      </c>
      <c r="N336" s="4">
        <f>M336/1.12</f>
        <v>18.196428571428569</v>
      </c>
      <c r="O336" s="4">
        <f t="shared" si="30"/>
        <v>6114</v>
      </c>
      <c r="P336" s="47">
        <f t="shared" si="29"/>
        <v>5458.9285714285706</v>
      </c>
      <c r="Q336" s="47">
        <f t="shared" si="33"/>
        <v>655.07142857142935</v>
      </c>
      <c r="R336" s="19"/>
    </row>
    <row r="337" spans="1:18" x14ac:dyDescent="0.35">
      <c r="A337">
        <v>309</v>
      </c>
      <c r="E337" s="1">
        <v>5414</v>
      </c>
      <c r="F337" s="7">
        <v>30</v>
      </c>
      <c r="G337" s="70">
        <v>5600</v>
      </c>
      <c r="H337" s="71" t="s">
        <v>136</v>
      </c>
      <c r="I337" s="53" t="s">
        <v>58</v>
      </c>
      <c r="J337" s="67" t="s">
        <v>18</v>
      </c>
      <c r="K337" s="45">
        <v>50</v>
      </c>
      <c r="L337" s="45" t="s">
        <v>59</v>
      </c>
      <c r="M337" s="6">
        <v>1765</v>
      </c>
      <c r="N337" s="4">
        <f>M337/1.12</f>
        <v>1575.8928571428569</v>
      </c>
      <c r="O337" s="4">
        <f t="shared" si="30"/>
        <v>88250</v>
      </c>
      <c r="P337" s="47">
        <f t="shared" si="29"/>
        <v>78794.642857142841</v>
      </c>
      <c r="Q337" s="47">
        <f t="shared" si="33"/>
        <v>9455.3571428571595</v>
      </c>
      <c r="R337" s="19"/>
    </row>
    <row r="338" spans="1:18" x14ac:dyDescent="0.35">
      <c r="A338">
        <v>310</v>
      </c>
      <c r="E338" s="1">
        <v>5414</v>
      </c>
      <c r="F338" s="7">
        <v>30</v>
      </c>
      <c r="G338" s="70">
        <v>5600</v>
      </c>
      <c r="H338" s="71" t="s">
        <v>136</v>
      </c>
      <c r="I338" s="53" t="s">
        <v>58</v>
      </c>
      <c r="J338" s="67" t="s">
        <v>10</v>
      </c>
      <c r="K338" s="45">
        <v>200</v>
      </c>
      <c r="L338" s="45" t="s">
        <v>59</v>
      </c>
      <c r="M338" s="6">
        <v>710</v>
      </c>
      <c r="N338" s="4">
        <f>M338/1.12</f>
        <v>633.92857142857133</v>
      </c>
      <c r="O338" s="4">
        <f t="shared" si="30"/>
        <v>142000</v>
      </c>
      <c r="P338" s="47">
        <f t="shared" si="29"/>
        <v>126785.71428571426</v>
      </c>
      <c r="Q338" s="47">
        <f t="shared" si="33"/>
        <v>15214.285714285739</v>
      </c>
      <c r="R338" s="19"/>
    </row>
    <row r="339" spans="1:18" x14ac:dyDescent="0.35">
      <c r="A339">
        <v>311</v>
      </c>
      <c r="E339" s="1">
        <v>5415</v>
      </c>
      <c r="F339" s="7">
        <v>30</v>
      </c>
      <c r="G339" s="70">
        <v>5601</v>
      </c>
      <c r="H339" s="71" t="s">
        <v>136</v>
      </c>
      <c r="I339" s="53" t="s">
        <v>73</v>
      </c>
      <c r="J339" s="67" t="s">
        <v>26</v>
      </c>
      <c r="K339">
        <v>6</v>
      </c>
      <c r="L339" s="45" t="s">
        <v>74</v>
      </c>
      <c r="M339" s="4">
        <v>15950</v>
      </c>
      <c r="N339" s="4">
        <f>M339/1.12</f>
        <v>14241.071428571428</v>
      </c>
      <c r="O339" s="4">
        <f t="shared" si="30"/>
        <v>95700</v>
      </c>
      <c r="P339" s="47">
        <f t="shared" si="29"/>
        <v>85446.428571428565</v>
      </c>
      <c r="Q339" s="47">
        <f t="shared" si="33"/>
        <v>10253.571428571435</v>
      </c>
      <c r="R339" s="19"/>
    </row>
    <row r="340" spans="1:18" x14ac:dyDescent="0.35">
      <c r="A340">
        <v>312</v>
      </c>
      <c r="E340" s="1">
        <v>5415</v>
      </c>
      <c r="F340" s="7">
        <v>30</v>
      </c>
      <c r="G340" s="70">
        <v>5601</v>
      </c>
      <c r="H340" s="71" t="s">
        <v>136</v>
      </c>
      <c r="I340" s="53" t="s">
        <v>73</v>
      </c>
      <c r="J340" s="67" t="s">
        <v>106</v>
      </c>
      <c r="K340">
        <v>4</v>
      </c>
      <c r="L340" s="45" t="s">
        <v>74</v>
      </c>
      <c r="M340" s="4">
        <v>8347.5</v>
      </c>
      <c r="N340" s="4">
        <f>M340/1.12</f>
        <v>7453.1249999999991</v>
      </c>
      <c r="O340" s="4">
        <f t="shared" si="30"/>
        <v>33390</v>
      </c>
      <c r="P340" s="47">
        <f t="shared" si="29"/>
        <v>29812.499999999996</v>
      </c>
      <c r="Q340" s="47">
        <f t="shared" si="33"/>
        <v>3577.5000000000036</v>
      </c>
      <c r="R340" s="19"/>
    </row>
    <row r="341" spans="1:18" x14ac:dyDescent="0.35">
      <c r="A341">
        <v>313</v>
      </c>
      <c r="E341" s="1">
        <v>5416</v>
      </c>
      <c r="F341" s="7">
        <v>30</v>
      </c>
      <c r="G341" s="70">
        <v>5602</v>
      </c>
      <c r="H341" s="71" t="s">
        <v>137</v>
      </c>
      <c r="I341" s="53" t="s">
        <v>101</v>
      </c>
      <c r="J341" s="67" t="s">
        <v>10</v>
      </c>
      <c r="K341">
        <v>100</v>
      </c>
      <c r="L341" s="45" t="s">
        <v>59</v>
      </c>
      <c r="M341" s="4">
        <v>710</v>
      </c>
      <c r="N341" s="4">
        <f>M341/1.12</f>
        <v>633.92857142857133</v>
      </c>
      <c r="O341" s="4">
        <f t="shared" si="30"/>
        <v>71000</v>
      </c>
      <c r="P341" s="47">
        <f t="shared" si="29"/>
        <v>63392.85714285713</v>
      </c>
      <c r="Q341" s="47">
        <f t="shared" si="33"/>
        <v>7607.1428571428696</v>
      </c>
      <c r="R341" s="19"/>
    </row>
    <row r="342" spans="1:18" x14ac:dyDescent="0.35">
      <c r="A342">
        <v>314</v>
      </c>
      <c r="D342">
        <v>274</v>
      </c>
      <c r="E342" s="1">
        <v>5417</v>
      </c>
      <c r="F342" s="7">
        <v>30</v>
      </c>
      <c r="G342" s="70">
        <v>5603</v>
      </c>
      <c r="H342" s="71" t="s">
        <v>138</v>
      </c>
      <c r="I342" s="53" t="s">
        <v>81</v>
      </c>
      <c r="J342" t="s">
        <v>13</v>
      </c>
      <c r="K342">
        <v>9</v>
      </c>
      <c r="L342" s="45" t="s">
        <v>74</v>
      </c>
      <c r="M342" s="4">
        <v>7020.72</v>
      </c>
      <c r="N342" s="4">
        <f>M342/1.12</f>
        <v>6268.5</v>
      </c>
      <c r="O342" s="4">
        <f t="shared" si="30"/>
        <v>63186.48</v>
      </c>
      <c r="P342" s="47">
        <f t="shared" si="29"/>
        <v>56416.5</v>
      </c>
      <c r="Q342" s="47">
        <f t="shared" si="33"/>
        <v>6769.9800000000032</v>
      </c>
      <c r="R342" s="19"/>
    </row>
    <row r="343" spans="1:18" x14ac:dyDescent="0.35">
      <c r="A343">
        <v>315</v>
      </c>
      <c r="D343">
        <v>274</v>
      </c>
      <c r="E343" s="1">
        <v>5417</v>
      </c>
      <c r="F343" s="7">
        <v>30</v>
      </c>
      <c r="G343" s="70">
        <v>5603</v>
      </c>
      <c r="H343" s="71" t="s">
        <v>138</v>
      </c>
      <c r="I343" s="53" t="s">
        <v>81</v>
      </c>
      <c r="J343" t="s">
        <v>14</v>
      </c>
      <c r="K343">
        <v>7</v>
      </c>
      <c r="L343" s="45" t="s">
        <v>74</v>
      </c>
      <c r="M343" s="4">
        <v>6667</v>
      </c>
      <c r="N343" s="4">
        <f>M343/1.12</f>
        <v>5952.6785714285706</v>
      </c>
      <c r="O343" s="4">
        <f t="shared" si="30"/>
        <v>46669</v>
      </c>
      <c r="P343" s="47">
        <f t="shared" si="29"/>
        <v>41668.749999999993</v>
      </c>
      <c r="Q343" s="47">
        <f t="shared" si="33"/>
        <v>5000.2500000000073</v>
      </c>
      <c r="R343" s="19"/>
    </row>
    <row r="344" spans="1:18" x14ac:dyDescent="0.35">
      <c r="A344">
        <v>316</v>
      </c>
      <c r="D344">
        <v>274</v>
      </c>
      <c r="E344" s="1">
        <v>5417</v>
      </c>
      <c r="F344" s="7">
        <v>30</v>
      </c>
      <c r="G344" s="70">
        <v>5603</v>
      </c>
      <c r="H344" s="71" t="s">
        <v>138</v>
      </c>
      <c r="I344" s="53" t="s">
        <v>81</v>
      </c>
      <c r="J344" t="s">
        <v>57</v>
      </c>
      <c r="K344">
        <v>2</v>
      </c>
      <c r="L344" s="45" t="s">
        <v>74</v>
      </c>
      <c r="M344" s="4">
        <v>6000</v>
      </c>
      <c r="N344" s="4">
        <f>M344/1.12</f>
        <v>5357.1428571428569</v>
      </c>
      <c r="O344" s="4">
        <f t="shared" si="30"/>
        <v>12000</v>
      </c>
      <c r="P344" s="47">
        <f t="shared" si="29"/>
        <v>10714.285714285714</v>
      </c>
      <c r="Q344" s="47">
        <f t="shared" si="33"/>
        <v>1285.7142857142862</v>
      </c>
      <c r="R344" s="19"/>
    </row>
    <row r="345" spans="1:18" x14ac:dyDescent="0.35">
      <c r="A345">
        <v>317</v>
      </c>
      <c r="D345">
        <v>274</v>
      </c>
      <c r="E345" s="1">
        <v>5417</v>
      </c>
      <c r="F345" s="7">
        <v>30</v>
      </c>
      <c r="G345" s="70">
        <v>5603</v>
      </c>
      <c r="H345" s="71" t="s">
        <v>138</v>
      </c>
      <c r="I345" s="53" t="s">
        <v>81</v>
      </c>
      <c r="J345" s="67" t="s">
        <v>25</v>
      </c>
      <c r="K345">
        <v>6</v>
      </c>
      <c r="L345" s="45" t="s">
        <v>74</v>
      </c>
      <c r="M345" s="4">
        <v>3360</v>
      </c>
      <c r="N345" s="4">
        <f>M345/1.12</f>
        <v>2999.9999999999995</v>
      </c>
      <c r="O345" s="4">
        <f t="shared" si="30"/>
        <v>20160</v>
      </c>
      <c r="P345" s="47">
        <f t="shared" si="29"/>
        <v>17999.999999999996</v>
      </c>
      <c r="Q345" s="47">
        <f t="shared" si="33"/>
        <v>2160.0000000000036</v>
      </c>
      <c r="R345" s="19"/>
    </row>
    <row r="346" spans="1:18" x14ac:dyDescent="0.35">
      <c r="A346">
        <v>318</v>
      </c>
      <c r="D346">
        <v>274</v>
      </c>
      <c r="E346" s="1">
        <v>5417</v>
      </c>
      <c r="F346" s="7">
        <v>30</v>
      </c>
      <c r="G346" s="70">
        <v>5603</v>
      </c>
      <c r="H346" s="71" t="s">
        <v>138</v>
      </c>
      <c r="I346" s="53" t="s">
        <v>81</v>
      </c>
      <c r="J346" s="67" t="s">
        <v>30</v>
      </c>
      <c r="K346">
        <v>2</v>
      </c>
      <c r="L346" s="45" t="s">
        <v>74</v>
      </c>
      <c r="M346" s="4">
        <v>5600</v>
      </c>
      <c r="N346" s="4">
        <f>M346/1.12</f>
        <v>4999.9999999999991</v>
      </c>
      <c r="O346" s="4">
        <f t="shared" si="30"/>
        <v>11200</v>
      </c>
      <c r="P346" s="47">
        <f t="shared" si="29"/>
        <v>9999.9999999999982</v>
      </c>
      <c r="Q346" s="47">
        <f t="shared" si="33"/>
        <v>1200.0000000000018</v>
      </c>
      <c r="R346" s="19"/>
    </row>
    <row r="347" spans="1:18" x14ac:dyDescent="0.35">
      <c r="A347">
        <v>319</v>
      </c>
      <c r="E347" s="1">
        <v>5418</v>
      </c>
      <c r="F347" s="7">
        <v>60</v>
      </c>
      <c r="G347" s="70">
        <v>5604</v>
      </c>
      <c r="H347" s="71" t="s">
        <v>139</v>
      </c>
      <c r="I347" s="53" t="s">
        <v>61</v>
      </c>
      <c r="J347" s="67" t="s">
        <v>18</v>
      </c>
      <c r="K347">
        <v>100</v>
      </c>
      <c r="L347" s="45" t="s">
        <v>59</v>
      </c>
      <c r="M347" s="4">
        <v>1700</v>
      </c>
      <c r="N347" s="4">
        <f>M347/1.12</f>
        <v>1517.8571428571427</v>
      </c>
      <c r="O347" s="4">
        <f t="shared" si="30"/>
        <v>170000</v>
      </c>
      <c r="P347" s="47">
        <f t="shared" si="29"/>
        <v>151785.71428571426</v>
      </c>
      <c r="Q347" s="47">
        <f t="shared" si="33"/>
        <v>18214.285714285739</v>
      </c>
      <c r="R347" s="19"/>
    </row>
    <row r="348" spans="1:18" x14ac:dyDescent="0.35">
      <c r="A348">
        <v>320</v>
      </c>
      <c r="E348" s="1">
        <v>5419</v>
      </c>
      <c r="F348" s="7">
        <v>60</v>
      </c>
      <c r="G348" s="70">
        <v>5605</v>
      </c>
      <c r="H348" s="71" t="s">
        <v>139</v>
      </c>
      <c r="I348" s="53" t="s">
        <v>61</v>
      </c>
      <c r="J348" s="67" t="s">
        <v>18</v>
      </c>
      <c r="K348">
        <v>24</v>
      </c>
      <c r="L348" s="45" t="s">
        <v>59</v>
      </c>
      <c r="M348" s="4">
        <v>1700</v>
      </c>
      <c r="N348" s="4">
        <f>M348/1.12</f>
        <v>1517.8571428571427</v>
      </c>
      <c r="O348" s="4">
        <f t="shared" si="30"/>
        <v>40800</v>
      </c>
      <c r="P348" s="47">
        <f t="shared" si="29"/>
        <v>36428.57142857142</v>
      </c>
      <c r="Q348" s="47">
        <f t="shared" si="33"/>
        <v>4371.4285714285797</v>
      </c>
      <c r="R348" s="19"/>
    </row>
    <row r="349" spans="1:18" x14ac:dyDescent="0.35">
      <c r="A349">
        <v>321</v>
      </c>
      <c r="E349" s="1">
        <v>5380</v>
      </c>
      <c r="F349" s="7">
        <v>30</v>
      </c>
      <c r="G349" s="70">
        <v>5606</v>
      </c>
      <c r="H349" s="71" t="s">
        <v>138</v>
      </c>
      <c r="I349" s="1" t="s">
        <v>119</v>
      </c>
      <c r="J349" s="67" t="s">
        <v>55</v>
      </c>
      <c r="K349" s="45">
        <v>1</v>
      </c>
      <c r="L349" s="45" t="s">
        <v>69</v>
      </c>
      <c r="M349" s="6">
        <v>273358.96000000002</v>
      </c>
      <c r="N349" s="4">
        <f>M349/1.12</f>
        <v>244070.5</v>
      </c>
      <c r="O349" s="4">
        <f t="shared" si="30"/>
        <v>273358.96000000002</v>
      </c>
      <c r="P349" s="47">
        <f t="shared" si="29"/>
        <v>244070.5</v>
      </c>
      <c r="Q349" s="47">
        <f t="shared" si="33"/>
        <v>29288.460000000021</v>
      </c>
      <c r="R349" s="19"/>
    </row>
    <row r="350" spans="1:18" x14ac:dyDescent="0.35">
      <c r="A350">
        <v>322</v>
      </c>
      <c r="E350" s="1">
        <v>5380</v>
      </c>
      <c r="F350" s="7">
        <v>30</v>
      </c>
      <c r="G350" s="70">
        <v>5606</v>
      </c>
      <c r="H350" s="71" t="s">
        <v>117</v>
      </c>
      <c r="I350" s="1" t="s">
        <v>119</v>
      </c>
      <c r="J350" t="s">
        <v>13</v>
      </c>
      <c r="K350" s="45">
        <v>8</v>
      </c>
      <c r="L350" s="45" t="s">
        <v>74</v>
      </c>
      <c r="M350" s="57">
        <f>234.02*30</f>
        <v>7020.6</v>
      </c>
      <c r="N350" s="4">
        <f>M350/1.12</f>
        <v>6268.3928571428569</v>
      </c>
      <c r="O350" s="4">
        <f t="shared" si="30"/>
        <v>56164.800000000003</v>
      </c>
      <c r="P350" s="47">
        <f t="shared" si="29"/>
        <v>50147.142857142855</v>
      </c>
      <c r="Q350" s="47">
        <f t="shared" si="33"/>
        <v>6017.6571428571478</v>
      </c>
      <c r="R350" s="19"/>
    </row>
    <row r="351" spans="1:18" x14ac:dyDescent="0.35">
      <c r="A351">
        <v>323</v>
      </c>
      <c r="E351" s="1">
        <v>5380</v>
      </c>
      <c r="F351" s="7">
        <v>30</v>
      </c>
      <c r="G351" s="70">
        <v>5606</v>
      </c>
      <c r="H351" s="71" t="s">
        <v>117</v>
      </c>
      <c r="I351" s="1" t="s">
        <v>119</v>
      </c>
      <c r="J351" t="s">
        <v>14</v>
      </c>
      <c r="K351" s="45">
        <v>8</v>
      </c>
      <c r="L351" s="45" t="s">
        <v>74</v>
      </c>
      <c r="M351" s="57">
        <f>222.26*30</f>
        <v>6667.7999999999993</v>
      </c>
      <c r="N351" s="4">
        <f>M351/1.12</f>
        <v>5953.392857142856</v>
      </c>
      <c r="O351" s="4">
        <f t="shared" si="30"/>
        <v>53342.399999999994</v>
      </c>
      <c r="P351" s="47">
        <f t="shared" si="29"/>
        <v>47627.142857142848</v>
      </c>
      <c r="Q351" s="47">
        <f t="shared" si="33"/>
        <v>5715.2571428571464</v>
      </c>
      <c r="R351" s="19"/>
    </row>
    <row r="352" spans="1:18" x14ac:dyDescent="0.35">
      <c r="A352">
        <v>324</v>
      </c>
      <c r="E352" s="1">
        <v>5380</v>
      </c>
      <c r="F352" s="7">
        <v>30</v>
      </c>
      <c r="G352" s="70">
        <v>5606</v>
      </c>
      <c r="H352" s="71" t="s">
        <v>117</v>
      </c>
      <c r="I352" s="1" t="s">
        <v>119</v>
      </c>
      <c r="J352" t="s">
        <v>57</v>
      </c>
      <c r="K352" s="45">
        <v>9</v>
      </c>
      <c r="L352" s="45" t="s">
        <v>74</v>
      </c>
      <c r="M352" s="57">
        <v>6000</v>
      </c>
      <c r="N352" s="4">
        <f>M352/1.12</f>
        <v>5357.1428571428569</v>
      </c>
      <c r="O352" s="4">
        <f t="shared" si="30"/>
        <v>54000</v>
      </c>
      <c r="P352" s="47">
        <f t="shared" si="29"/>
        <v>48214.28571428571</v>
      </c>
      <c r="Q352" s="47">
        <f t="shared" si="33"/>
        <v>5785.7142857142899</v>
      </c>
      <c r="R352" s="19"/>
    </row>
    <row r="353" spans="1:18" x14ac:dyDescent="0.35">
      <c r="A353">
        <v>325</v>
      </c>
      <c r="E353" s="1">
        <v>5380</v>
      </c>
      <c r="F353" s="7">
        <v>30</v>
      </c>
      <c r="G353" s="70">
        <v>5607</v>
      </c>
      <c r="H353" s="71" t="s">
        <v>138</v>
      </c>
      <c r="I353" s="1" t="s">
        <v>119</v>
      </c>
      <c r="J353" s="67" t="s">
        <v>55</v>
      </c>
      <c r="K353" s="45">
        <v>1</v>
      </c>
      <c r="L353" s="45" t="s">
        <v>69</v>
      </c>
      <c r="M353" s="6">
        <v>323680</v>
      </c>
      <c r="N353" s="4">
        <f>M353/1.12</f>
        <v>289000</v>
      </c>
      <c r="O353" s="4">
        <f t="shared" si="30"/>
        <v>323680</v>
      </c>
      <c r="P353" s="47">
        <f t="shared" si="29"/>
        <v>289000</v>
      </c>
      <c r="Q353" s="47">
        <f t="shared" si="33"/>
        <v>34680</v>
      </c>
      <c r="R353" s="19"/>
    </row>
    <row r="354" spans="1:18" x14ac:dyDescent="0.35">
      <c r="A354">
        <v>326</v>
      </c>
      <c r="E354" s="1">
        <v>5380</v>
      </c>
      <c r="F354" s="7">
        <v>30</v>
      </c>
      <c r="G354" s="70">
        <v>5607</v>
      </c>
      <c r="H354" s="71" t="s">
        <v>117</v>
      </c>
      <c r="I354" s="1" t="s">
        <v>119</v>
      </c>
      <c r="J354" t="s">
        <v>13</v>
      </c>
      <c r="K354" s="45">
        <v>7</v>
      </c>
      <c r="L354" s="45" t="s">
        <v>74</v>
      </c>
      <c r="M354" s="57">
        <f>234.02*30</f>
        <v>7020.6</v>
      </c>
      <c r="N354" s="4">
        <f>M354/1.12</f>
        <v>6268.3928571428569</v>
      </c>
      <c r="O354" s="4">
        <f t="shared" si="30"/>
        <v>49144.200000000004</v>
      </c>
      <c r="P354" s="47">
        <f t="shared" si="29"/>
        <v>43878.75</v>
      </c>
      <c r="Q354" s="47">
        <f t="shared" si="33"/>
        <v>5265.4500000000044</v>
      </c>
      <c r="R354" s="19"/>
    </row>
    <row r="355" spans="1:18" x14ac:dyDescent="0.35">
      <c r="A355">
        <v>327</v>
      </c>
      <c r="E355" s="1">
        <v>5380</v>
      </c>
      <c r="F355" s="7">
        <v>30</v>
      </c>
      <c r="G355" s="70">
        <v>5607</v>
      </c>
      <c r="H355" s="71" t="s">
        <v>117</v>
      </c>
      <c r="I355" s="1" t="s">
        <v>119</v>
      </c>
      <c r="J355" t="s">
        <v>14</v>
      </c>
      <c r="K355" s="45">
        <v>7</v>
      </c>
      <c r="L355" s="45" t="s">
        <v>74</v>
      </c>
      <c r="M355" s="57">
        <f>222.26*30</f>
        <v>6667.7999999999993</v>
      </c>
      <c r="N355" s="4">
        <f>M355/1.12</f>
        <v>5953.392857142856</v>
      </c>
      <c r="O355" s="4">
        <f t="shared" si="30"/>
        <v>46674.599999999991</v>
      </c>
      <c r="P355" s="47">
        <f t="shared" si="29"/>
        <v>41673.749999999993</v>
      </c>
      <c r="Q355" s="47">
        <f t="shared" si="33"/>
        <v>5000.8499999999985</v>
      </c>
      <c r="R355" s="19"/>
    </row>
    <row r="356" spans="1:18" x14ac:dyDescent="0.35">
      <c r="A356">
        <v>328</v>
      </c>
      <c r="E356" s="1">
        <v>5380</v>
      </c>
      <c r="F356" s="7">
        <v>30</v>
      </c>
      <c r="G356" s="70">
        <v>5607</v>
      </c>
      <c r="H356" s="71" t="s">
        <v>117</v>
      </c>
      <c r="I356" s="1" t="s">
        <v>119</v>
      </c>
      <c r="J356" t="s">
        <v>57</v>
      </c>
      <c r="K356" s="45">
        <v>18</v>
      </c>
      <c r="L356" s="45" t="s">
        <v>74</v>
      </c>
      <c r="M356" s="57">
        <v>6000</v>
      </c>
      <c r="N356" s="4">
        <f>M356/1.12</f>
        <v>5357.1428571428569</v>
      </c>
      <c r="O356" s="4">
        <f t="shared" si="30"/>
        <v>108000</v>
      </c>
      <c r="P356" s="47">
        <f t="shared" si="29"/>
        <v>96428.57142857142</v>
      </c>
      <c r="Q356" s="47">
        <f t="shared" si="33"/>
        <v>11571.42857142858</v>
      </c>
      <c r="R356" s="19"/>
    </row>
    <row r="357" spans="1:18" x14ac:dyDescent="0.35">
      <c r="A357">
        <v>329</v>
      </c>
      <c r="F357" s="7">
        <v>30</v>
      </c>
      <c r="G357" s="70">
        <v>5608</v>
      </c>
      <c r="H357" s="71" t="s">
        <v>140</v>
      </c>
      <c r="I357" s="53" t="s">
        <v>102</v>
      </c>
      <c r="J357" s="67" t="s">
        <v>55</v>
      </c>
      <c r="K357" s="45">
        <v>1</v>
      </c>
      <c r="L357" s="45" t="s">
        <v>69</v>
      </c>
      <c r="M357" s="4">
        <v>29000</v>
      </c>
      <c r="O357" s="4">
        <f t="shared" si="30"/>
        <v>29000</v>
      </c>
      <c r="P357" s="47"/>
      <c r="Q357" s="47">
        <f t="shared" si="33"/>
        <v>29000</v>
      </c>
      <c r="R357" s="19"/>
    </row>
    <row r="358" spans="1:18" x14ac:dyDescent="0.35">
      <c r="A358">
        <v>330</v>
      </c>
      <c r="F358" s="7">
        <v>30</v>
      </c>
      <c r="G358" s="70">
        <v>5609</v>
      </c>
      <c r="H358" s="71" t="s">
        <v>140</v>
      </c>
      <c r="I358" s="53" t="s">
        <v>102</v>
      </c>
      <c r="J358" s="67" t="s">
        <v>55</v>
      </c>
      <c r="K358" s="45">
        <v>1</v>
      </c>
      <c r="L358" s="45" t="s">
        <v>69</v>
      </c>
      <c r="M358" s="4">
        <v>29000</v>
      </c>
      <c r="O358" s="4">
        <f t="shared" si="30"/>
        <v>29000</v>
      </c>
      <c r="P358" s="47"/>
      <c r="Q358" s="47">
        <f t="shared" si="33"/>
        <v>29000</v>
      </c>
      <c r="R358" s="19"/>
    </row>
    <row r="359" spans="1:18" x14ac:dyDescent="0.35">
      <c r="A359">
        <v>331</v>
      </c>
      <c r="E359" s="1">
        <v>5420</v>
      </c>
      <c r="F359" s="7">
        <v>30</v>
      </c>
      <c r="G359" s="70">
        <v>5610</v>
      </c>
      <c r="H359" s="71" t="s">
        <v>141</v>
      </c>
      <c r="I359" s="1" t="s">
        <v>109</v>
      </c>
      <c r="J359" s="67" t="s">
        <v>26</v>
      </c>
      <c r="K359" s="45">
        <v>1750</v>
      </c>
      <c r="L359" s="45" t="s">
        <v>94</v>
      </c>
      <c r="M359" s="4">
        <v>348.3</v>
      </c>
      <c r="N359" s="4">
        <f>M359/1.12</f>
        <v>310.98214285714283</v>
      </c>
      <c r="O359" s="4">
        <f t="shared" si="30"/>
        <v>609525</v>
      </c>
      <c r="P359" s="47">
        <f t="shared" ref="P359:P422" si="34">K359*N359</f>
        <v>544218.75</v>
      </c>
      <c r="Q359" s="47">
        <f t="shared" si="33"/>
        <v>65306.25</v>
      </c>
      <c r="R359" s="19"/>
    </row>
    <row r="360" spans="1:18" x14ac:dyDescent="0.35">
      <c r="A360">
        <v>332</v>
      </c>
      <c r="E360" s="1">
        <v>5420</v>
      </c>
      <c r="F360" s="7">
        <v>30</v>
      </c>
      <c r="G360" s="70">
        <v>5610</v>
      </c>
      <c r="H360" s="71" t="s">
        <v>141</v>
      </c>
      <c r="I360" s="1" t="s">
        <v>109</v>
      </c>
      <c r="J360" s="67" t="s">
        <v>29</v>
      </c>
      <c r="K360" s="45">
        <v>1250</v>
      </c>
      <c r="L360" s="45" t="s">
        <v>94</v>
      </c>
      <c r="M360" s="4">
        <v>311.04000000000002</v>
      </c>
      <c r="N360" s="4">
        <f>M360/1.12</f>
        <v>277.71428571428572</v>
      </c>
      <c r="O360" s="4">
        <f t="shared" si="30"/>
        <v>388800</v>
      </c>
      <c r="P360" s="47">
        <f t="shared" si="34"/>
        <v>347142.85714285716</v>
      </c>
      <c r="Q360" s="47">
        <f t="shared" si="33"/>
        <v>41657.142857142841</v>
      </c>
      <c r="R360" s="19"/>
    </row>
    <row r="361" spans="1:18" x14ac:dyDescent="0.35">
      <c r="A361">
        <v>333</v>
      </c>
      <c r="E361" s="1">
        <v>5424</v>
      </c>
      <c r="F361" s="7">
        <v>30</v>
      </c>
      <c r="G361" s="70">
        <v>5611</v>
      </c>
      <c r="H361" s="71" t="s">
        <v>142</v>
      </c>
      <c r="I361" s="53" t="s">
        <v>111</v>
      </c>
      <c r="J361" s="67" t="s">
        <v>27</v>
      </c>
      <c r="K361" s="45">
        <v>280</v>
      </c>
      <c r="L361" s="45" t="s">
        <v>94</v>
      </c>
      <c r="M361" s="4">
        <v>217.8</v>
      </c>
      <c r="N361" s="4">
        <f>M361/1.12</f>
        <v>194.46428571428569</v>
      </c>
      <c r="O361" s="4">
        <f t="shared" si="30"/>
        <v>60984</v>
      </c>
      <c r="P361" s="47">
        <f t="shared" si="34"/>
        <v>54449.999999999993</v>
      </c>
      <c r="Q361" s="47">
        <f t="shared" si="33"/>
        <v>6534.0000000000073</v>
      </c>
      <c r="R361" s="19"/>
    </row>
    <row r="362" spans="1:18" x14ac:dyDescent="0.35">
      <c r="A362">
        <v>334</v>
      </c>
      <c r="E362" s="1">
        <v>5381</v>
      </c>
      <c r="F362" s="7">
        <v>30</v>
      </c>
      <c r="G362" s="70">
        <v>5612</v>
      </c>
      <c r="H362" s="71" t="s">
        <v>142</v>
      </c>
      <c r="I362" s="53" t="s">
        <v>86</v>
      </c>
      <c r="J362" s="67" t="s">
        <v>68</v>
      </c>
      <c r="K362" s="45">
        <v>1</v>
      </c>
      <c r="L362" s="45" t="s">
        <v>69</v>
      </c>
      <c r="M362" s="4">
        <v>30000</v>
      </c>
      <c r="N362" s="4">
        <f>M362/1.12</f>
        <v>26785.714285714283</v>
      </c>
      <c r="O362" s="4">
        <f t="shared" si="30"/>
        <v>30000</v>
      </c>
      <c r="P362" s="47">
        <f t="shared" si="34"/>
        <v>26785.714285714283</v>
      </c>
      <c r="Q362" s="47">
        <f t="shared" si="33"/>
        <v>3214.2857142857174</v>
      </c>
      <c r="R362" s="19"/>
    </row>
    <row r="363" spans="1:18" x14ac:dyDescent="0.35">
      <c r="A363">
        <v>335</v>
      </c>
      <c r="E363" s="1">
        <v>5381</v>
      </c>
      <c r="F363" s="7">
        <v>30</v>
      </c>
      <c r="G363" s="70">
        <v>5612</v>
      </c>
      <c r="H363" s="71" t="s">
        <v>117</v>
      </c>
      <c r="I363" s="53" t="s">
        <v>86</v>
      </c>
      <c r="J363" t="s">
        <v>13</v>
      </c>
      <c r="K363" s="45">
        <v>1</v>
      </c>
      <c r="L363" s="45" t="s">
        <v>74</v>
      </c>
      <c r="M363" s="57">
        <f>234.02*30</f>
        <v>7020.6</v>
      </c>
      <c r="N363" s="4">
        <f>M363/1.12</f>
        <v>6268.3928571428569</v>
      </c>
      <c r="O363" s="4">
        <f t="shared" si="30"/>
        <v>7020.6</v>
      </c>
      <c r="P363" s="47">
        <f t="shared" si="34"/>
        <v>6268.3928571428569</v>
      </c>
      <c r="Q363" s="47">
        <f t="shared" si="33"/>
        <v>752.20714285714348</v>
      </c>
      <c r="R363" s="19"/>
    </row>
    <row r="364" spans="1:18" x14ac:dyDescent="0.35">
      <c r="A364">
        <v>336</v>
      </c>
      <c r="E364" s="1">
        <v>5381</v>
      </c>
      <c r="F364" s="7">
        <v>30</v>
      </c>
      <c r="G364" s="70">
        <v>5612</v>
      </c>
      <c r="H364" s="71" t="s">
        <v>117</v>
      </c>
      <c r="I364" s="53" t="s">
        <v>86</v>
      </c>
      <c r="J364" t="s">
        <v>14</v>
      </c>
      <c r="K364" s="45">
        <v>1</v>
      </c>
      <c r="L364" s="45" t="s">
        <v>74</v>
      </c>
      <c r="M364" s="57">
        <f>222.26*30</f>
        <v>6667.7999999999993</v>
      </c>
      <c r="N364" s="4">
        <f>M364/1.12</f>
        <v>5953.392857142856</v>
      </c>
      <c r="O364" s="4">
        <f t="shared" si="30"/>
        <v>6667.7999999999993</v>
      </c>
      <c r="P364" s="47">
        <f t="shared" si="34"/>
        <v>5953.392857142856</v>
      </c>
      <c r="Q364" s="47">
        <f t="shared" si="33"/>
        <v>714.4071428571433</v>
      </c>
      <c r="R364" s="19"/>
    </row>
    <row r="365" spans="1:18" x14ac:dyDescent="0.35">
      <c r="A365">
        <v>337</v>
      </c>
      <c r="E365" s="1">
        <v>5401</v>
      </c>
      <c r="F365" s="7">
        <v>30</v>
      </c>
      <c r="G365" s="70">
        <v>5613</v>
      </c>
      <c r="H365" s="71" t="s">
        <v>142</v>
      </c>
      <c r="I365" s="53" t="s">
        <v>86</v>
      </c>
      <c r="J365" s="67" t="s">
        <v>68</v>
      </c>
      <c r="K365" s="45">
        <v>1</v>
      </c>
      <c r="L365" s="45" t="s">
        <v>69</v>
      </c>
      <c r="M365" s="4">
        <v>30000</v>
      </c>
      <c r="N365" s="4">
        <f>M365/1.12</f>
        <v>26785.714285714283</v>
      </c>
      <c r="O365" s="4">
        <f t="shared" si="30"/>
        <v>30000</v>
      </c>
      <c r="P365" s="47">
        <f t="shared" si="34"/>
        <v>26785.714285714283</v>
      </c>
      <c r="Q365" s="47">
        <f t="shared" si="33"/>
        <v>3214.2857142857174</v>
      </c>
      <c r="R365" s="19"/>
    </row>
    <row r="366" spans="1:18" x14ac:dyDescent="0.35">
      <c r="A366">
        <v>338</v>
      </c>
      <c r="E366" s="1">
        <v>5401</v>
      </c>
      <c r="F366" s="7">
        <v>30</v>
      </c>
      <c r="G366" s="70">
        <v>5613</v>
      </c>
      <c r="H366" s="71" t="s">
        <v>143</v>
      </c>
      <c r="I366" s="53" t="s">
        <v>86</v>
      </c>
      <c r="J366" t="s">
        <v>13</v>
      </c>
      <c r="K366" s="45">
        <v>1</v>
      </c>
      <c r="L366" s="45" t="s">
        <v>74</v>
      </c>
      <c r="M366" s="57">
        <f>234.02*30</f>
        <v>7020.6</v>
      </c>
      <c r="N366" s="4">
        <f>M366/1.12</f>
        <v>6268.3928571428569</v>
      </c>
      <c r="O366" s="4">
        <f t="shared" si="30"/>
        <v>7020.6</v>
      </c>
      <c r="P366" s="47">
        <f t="shared" si="34"/>
        <v>6268.3928571428569</v>
      </c>
      <c r="Q366" s="47">
        <f t="shared" si="33"/>
        <v>752.20714285714348</v>
      </c>
      <c r="R366" s="19"/>
    </row>
    <row r="367" spans="1:18" x14ac:dyDescent="0.35">
      <c r="A367">
        <v>339</v>
      </c>
      <c r="E367" s="1">
        <v>5401</v>
      </c>
      <c r="F367" s="7">
        <v>30</v>
      </c>
      <c r="G367" s="70">
        <v>5613</v>
      </c>
      <c r="H367" s="71" t="s">
        <v>143</v>
      </c>
      <c r="I367" s="53" t="s">
        <v>86</v>
      </c>
      <c r="J367" t="s">
        <v>14</v>
      </c>
      <c r="K367" s="45">
        <v>1</v>
      </c>
      <c r="L367" s="45" t="s">
        <v>74</v>
      </c>
      <c r="M367" s="57">
        <f>222.26*30</f>
        <v>6667.7999999999993</v>
      </c>
      <c r="N367" s="4">
        <f>M367/1.12</f>
        <v>5953.392857142856</v>
      </c>
      <c r="O367" s="4">
        <f t="shared" si="30"/>
        <v>6667.7999999999993</v>
      </c>
      <c r="P367" s="47">
        <f t="shared" si="34"/>
        <v>5953.392857142856</v>
      </c>
      <c r="Q367" s="47">
        <f t="shared" si="33"/>
        <v>714.4071428571433</v>
      </c>
    </row>
    <row r="368" spans="1:18" x14ac:dyDescent="0.35">
      <c r="A368">
        <v>340</v>
      </c>
      <c r="E368" s="1">
        <v>5401</v>
      </c>
      <c r="F368" s="7">
        <v>30</v>
      </c>
      <c r="G368" s="70">
        <v>5613</v>
      </c>
      <c r="H368" s="71" t="s">
        <v>143</v>
      </c>
      <c r="I368" s="53" t="s">
        <v>86</v>
      </c>
      <c r="J368" t="s">
        <v>57</v>
      </c>
      <c r="K368" s="45">
        <v>1</v>
      </c>
      <c r="L368" s="45" t="s">
        <v>74</v>
      </c>
      <c r="M368" s="57">
        <v>6000</v>
      </c>
      <c r="N368" s="4">
        <f>M368/1.12</f>
        <v>5357.1428571428569</v>
      </c>
      <c r="O368" s="4">
        <f t="shared" si="30"/>
        <v>6000</v>
      </c>
      <c r="P368" s="47">
        <f t="shared" si="34"/>
        <v>5357.1428571428569</v>
      </c>
      <c r="Q368" s="47">
        <f t="shared" si="33"/>
        <v>642.85714285714312</v>
      </c>
    </row>
    <row r="369" spans="1:18" x14ac:dyDescent="0.35">
      <c r="A369">
        <v>341</v>
      </c>
      <c r="E369" s="1">
        <v>5423</v>
      </c>
      <c r="F369" s="7">
        <v>30</v>
      </c>
      <c r="G369" s="70">
        <v>5614</v>
      </c>
      <c r="H369" s="71" t="s">
        <v>142</v>
      </c>
      <c r="I369" s="53" t="s">
        <v>86</v>
      </c>
      <c r="J369" s="67" t="s">
        <v>68</v>
      </c>
      <c r="K369" s="45">
        <v>1</v>
      </c>
      <c r="L369" s="45" t="s">
        <v>69</v>
      </c>
      <c r="M369" s="4">
        <v>30000</v>
      </c>
      <c r="N369" s="4">
        <f>M369/1.12</f>
        <v>26785.714285714283</v>
      </c>
      <c r="O369" s="4">
        <f t="shared" si="30"/>
        <v>30000</v>
      </c>
      <c r="P369" s="47">
        <f t="shared" si="34"/>
        <v>26785.714285714283</v>
      </c>
      <c r="Q369" s="47">
        <f t="shared" si="33"/>
        <v>3214.2857142857174</v>
      </c>
      <c r="R369" s="19"/>
    </row>
    <row r="370" spans="1:18" x14ac:dyDescent="0.35">
      <c r="A370">
        <v>342</v>
      </c>
      <c r="E370" s="1">
        <v>5423</v>
      </c>
      <c r="F370" s="7">
        <v>30</v>
      </c>
      <c r="G370" s="70">
        <v>5614</v>
      </c>
      <c r="H370" s="71" t="s">
        <v>142</v>
      </c>
      <c r="I370" s="53" t="s">
        <v>86</v>
      </c>
      <c r="J370" t="s">
        <v>13</v>
      </c>
      <c r="K370" s="45">
        <v>1</v>
      </c>
      <c r="L370" s="45" t="s">
        <v>74</v>
      </c>
      <c r="M370" s="57">
        <f>234.02*30</f>
        <v>7020.6</v>
      </c>
      <c r="N370" s="4">
        <f>M370/1.12</f>
        <v>6268.3928571428569</v>
      </c>
      <c r="O370" s="4">
        <f t="shared" si="30"/>
        <v>7020.6</v>
      </c>
      <c r="P370" s="47">
        <f t="shared" si="34"/>
        <v>6268.3928571428569</v>
      </c>
      <c r="Q370" s="47">
        <f t="shared" si="33"/>
        <v>752.20714285714348</v>
      </c>
      <c r="R370" s="19"/>
    </row>
    <row r="371" spans="1:18" x14ac:dyDescent="0.35">
      <c r="A371">
        <v>343</v>
      </c>
      <c r="E371" s="1">
        <v>5423</v>
      </c>
      <c r="F371" s="7">
        <v>30</v>
      </c>
      <c r="G371" s="70">
        <v>5614</v>
      </c>
      <c r="H371" s="71" t="s">
        <v>142</v>
      </c>
      <c r="I371" s="53" t="s">
        <v>86</v>
      </c>
      <c r="J371" t="s">
        <v>14</v>
      </c>
      <c r="K371" s="45">
        <v>1</v>
      </c>
      <c r="L371" s="45" t="s">
        <v>74</v>
      </c>
      <c r="M371" s="57">
        <f>222.26*30</f>
        <v>6667.7999999999993</v>
      </c>
      <c r="N371" s="4">
        <f>M371/1.12</f>
        <v>5953.392857142856</v>
      </c>
      <c r="O371" s="4">
        <f t="shared" si="30"/>
        <v>6667.7999999999993</v>
      </c>
      <c r="P371" s="47">
        <f t="shared" si="34"/>
        <v>5953.392857142856</v>
      </c>
      <c r="Q371" s="47">
        <f t="shared" si="33"/>
        <v>714.4071428571433</v>
      </c>
      <c r="R371" s="19"/>
    </row>
    <row r="372" spans="1:18" x14ac:dyDescent="0.35">
      <c r="A372">
        <v>344</v>
      </c>
      <c r="E372" s="1">
        <v>5425</v>
      </c>
      <c r="F372" s="7">
        <v>30</v>
      </c>
      <c r="G372" s="70">
        <v>5615</v>
      </c>
      <c r="H372" s="71" t="s">
        <v>134</v>
      </c>
      <c r="I372" s="53" t="s">
        <v>97</v>
      </c>
      <c r="J372" s="67" t="s">
        <v>10</v>
      </c>
      <c r="K372" s="45">
        <v>8</v>
      </c>
      <c r="L372" s="45" t="s">
        <v>59</v>
      </c>
      <c r="M372" s="4">
        <v>710</v>
      </c>
      <c r="N372" s="4">
        <f>M372/1.12</f>
        <v>633.92857142857133</v>
      </c>
      <c r="O372" s="4">
        <f t="shared" si="30"/>
        <v>5680</v>
      </c>
      <c r="P372" s="47">
        <f t="shared" si="34"/>
        <v>5071.4285714285706</v>
      </c>
      <c r="Q372" s="47">
        <f t="shared" si="33"/>
        <v>608.57142857142935</v>
      </c>
      <c r="R372" s="19"/>
    </row>
    <row r="373" spans="1:18" x14ac:dyDescent="0.35">
      <c r="A373">
        <v>345</v>
      </c>
      <c r="E373" s="1">
        <v>5425</v>
      </c>
      <c r="F373" s="7">
        <v>30</v>
      </c>
      <c r="G373" s="70">
        <v>5615</v>
      </c>
      <c r="H373" s="71" t="s">
        <v>134</v>
      </c>
      <c r="I373" s="53" t="s">
        <v>97</v>
      </c>
      <c r="J373" s="67" t="s">
        <v>18</v>
      </c>
      <c r="K373" s="45">
        <v>4</v>
      </c>
      <c r="L373" s="45" t="s">
        <v>59</v>
      </c>
      <c r="M373" s="4">
        <v>1765</v>
      </c>
      <c r="N373" s="4">
        <f>M373/1.12</f>
        <v>1575.8928571428569</v>
      </c>
      <c r="O373" s="4">
        <f t="shared" si="30"/>
        <v>7060</v>
      </c>
      <c r="P373" s="47">
        <f t="shared" si="34"/>
        <v>6303.5714285714275</v>
      </c>
      <c r="Q373" s="47">
        <f t="shared" si="33"/>
        <v>756.42857142857247</v>
      </c>
      <c r="R373" s="19"/>
    </row>
    <row r="374" spans="1:18" x14ac:dyDescent="0.35">
      <c r="A374">
        <v>346</v>
      </c>
      <c r="E374" s="1">
        <v>5426</v>
      </c>
      <c r="F374" s="7">
        <v>30</v>
      </c>
      <c r="G374" s="70">
        <v>5616</v>
      </c>
      <c r="H374" s="71" t="s">
        <v>144</v>
      </c>
      <c r="I374" s="53" t="s">
        <v>58</v>
      </c>
      <c r="J374" s="67" t="s">
        <v>18</v>
      </c>
      <c r="K374" s="45">
        <v>120</v>
      </c>
      <c r="L374" s="45" t="s">
        <v>59</v>
      </c>
      <c r="M374" s="4">
        <v>1765</v>
      </c>
      <c r="N374" s="4">
        <f>M374/1.12</f>
        <v>1575.8928571428569</v>
      </c>
      <c r="O374" s="4">
        <f t="shared" si="30"/>
        <v>211800</v>
      </c>
      <c r="P374" s="47">
        <f t="shared" si="34"/>
        <v>189107.14285714284</v>
      </c>
      <c r="Q374" s="47">
        <f t="shared" si="33"/>
        <v>22692.857142857159</v>
      </c>
      <c r="R374" s="19"/>
    </row>
    <row r="375" spans="1:18" x14ac:dyDescent="0.35">
      <c r="A375">
        <v>347</v>
      </c>
      <c r="E375" s="1">
        <v>5427</v>
      </c>
      <c r="F375" s="7">
        <v>30</v>
      </c>
      <c r="G375" s="70">
        <v>5617</v>
      </c>
      <c r="H375" s="71" t="s">
        <v>144</v>
      </c>
      <c r="I375" s="53" t="s">
        <v>58</v>
      </c>
      <c r="J375" s="67" t="s">
        <v>10</v>
      </c>
      <c r="K375" s="45">
        <v>300</v>
      </c>
      <c r="L375" s="45" t="s">
        <v>59</v>
      </c>
      <c r="M375" s="4">
        <v>710</v>
      </c>
      <c r="N375" s="4">
        <f>M375/1.12</f>
        <v>633.92857142857133</v>
      </c>
      <c r="O375" s="4">
        <f t="shared" si="30"/>
        <v>213000</v>
      </c>
      <c r="P375" s="47">
        <f t="shared" si="34"/>
        <v>190178.57142857139</v>
      </c>
      <c r="Q375" s="47">
        <f t="shared" si="33"/>
        <v>22821.428571428609</v>
      </c>
      <c r="R375" s="19"/>
    </row>
    <row r="376" spans="1:18" x14ac:dyDescent="0.35">
      <c r="A376">
        <v>348</v>
      </c>
      <c r="E376" s="1">
        <v>5428</v>
      </c>
      <c r="F376" s="7">
        <v>30</v>
      </c>
      <c r="G376" s="70">
        <v>5618</v>
      </c>
      <c r="H376" s="71" t="s">
        <v>144</v>
      </c>
      <c r="I376" s="53" t="s">
        <v>108</v>
      </c>
      <c r="J376" t="s">
        <v>14</v>
      </c>
      <c r="K376" s="45">
        <v>120</v>
      </c>
      <c r="L376" s="45" t="s">
        <v>94</v>
      </c>
      <c r="M376" s="4">
        <v>290.3</v>
      </c>
      <c r="N376" s="4">
        <f>M376/1.12</f>
        <v>259.19642857142856</v>
      </c>
      <c r="O376" s="4">
        <f t="shared" si="30"/>
        <v>34836</v>
      </c>
      <c r="P376" s="47">
        <f t="shared" si="34"/>
        <v>31103.571428571428</v>
      </c>
      <c r="Q376" s="47">
        <f t="shared" si="33"/>
        <v>3732.4285714285725</v>
      </c>
      <c r="R376" s="19"/>
    </row>
    <row r="377" spans="1:18" x14ac:dyDescent="0.35">
      <c r="A377">
        <v>349</v>
      </c>
      <c r="E377" s="1">
        <v>5399</v>
      </c>
      <c r="F377" s="7">
        <v>30</v>
      </c>
      <c r="G377" s="70">
        <v>5619</v>
      </c>
      <c r="H377" s="71" t="s">
        <v>145</v>
      </c>
      <c r="I377" s="1" t="s">
        <v>119</v>
      </c>
      <c r="J377" s="67" t="s">
        <v>55</v>
      </c>
      <c r="K377" s="45">
        <v>1</v>
      </c>
      <c r="L377" s="45" t="s">
        <v>69</v>
      </c>
      <c r="M377" s="4">
        <v>273358.98</v>
      </c>
      <c r="N377" s="4">
        <f>M377/1.12</f>
        <v>244070.51785714281</v>
      </c>
      <c r="O377" s="4">
        <f t="shared" ref="O377:O422" si="35">M377*K377</f>
        <v>273358.98</v>
      </c>
      <c r="P377" s="47">
        <f t="shared" si="34"/>
        <v>244070.51785714281</v>
      </c>
      <c r="Q377" s="47">
        <f t="shared" si="33"/>
        <v>29288.46214285717</v>
      </c>
      <c r="R377" s="19"/>
    </row>
    <row r="378" spans="1:18" x14ac:dyDescent="0.35">
      <c r="A378">
        <v>350</v>
      </c>
      <c r="E378" s="1">
        <v>5399</v>
      </c>
      <c r="F378" s="7">
        <v>30</v>
      </c>
      <c r="G378" s="70">
        <v>5619</v>
      </c>
      <c r="H378" s="71" t="s">
        <v>143</v>
      </c>
      <c r="I378" s="1" t="s">
        <v>119</v>
      </c>
      <c r="J378" t="s">
        <v>13</v>
      </c>
      <c r="K378" s="45">
        <v>8</v>
      </c>
      <c r="L378" s="45" t="s">
        <v>74</v>
      </c>
      <c r="M378" s="57">
        <f>234.02*30</f>
        <v>7020.6</v>
      </c>
      <c r="N378" s="4">
        <f>M378/1.12</f>
        <v>6268.3928571428569</v>
      </c>
      <c r="O378" s="4">
        <f t="shared" si="35"/>
        <v>56164.800000000003</v>
      </c>
      <c r="P378" s="47">
        <f t="shared" si="34"/>
        <v>50147.142857142855</v>
      </c>
      <c r="Q378" s="47">
        <f t="shared" si="33"/>
        <v>6017.6571428571478</v>
      </c>
      <c r="R378" s="19"/>
    </row>
    <row r="379" spans="1:18" x14ac:dyDescent="0.35">
      <c r="A379">
        <v>351</v>
      </c>
      <c r="E379" s="1">
        <v>5399</v>
      </c>
      <c r="F379" s="7">
        <v>30</v>
      </c>
      <c r="G379" s="70">
        <v>5619</v>
      </c>
      <c r="H379" s="71" t="s">
        <v>143</v>
      </c>
      <c r="I379" s="1" t="s">
        <v>119</v>
      </c>
      <c r="J379" t="s">
        <v>14</v>
      </c>
      <c r="K379" s="45">
        <v>8</v>
      </c>
      <c r="L379" s="45" t="s">
        <v>74</v>
      </c>
      <c r="M379" s="57">
        <f>222.26*30</f>
        <v>6667.7999999999993</v>
      </c>
      <c r="N379" s="4">
        <f>M379/1.12</f>
        <v>5953.392857142856</v>
      </c>
      <c r="O379" s="4">
        <f t="shared" si="35"/>
        <v>53342.399999999994</v>
      </c>
      <c r="P379" s="47">
        <f t="shared" si="34"/>
        <v>47627.142857142848</v>
      </c>
      <c r="Q379" s="47">
        <f t="shared" si="33"/>
        <v>5715.2571428571464</v>
      </c>
      <c r="R379" s="19"/>
    </row>
    <row r="380" spans="1:18" x14ac:dyDescent="0.35">
      <c r="A380">
        <v>352</v>
      </c>
      <c r="E380" s="1">
        <v>5399</v>
      </c>
      <c r="F380" s="7">
        <v>30</v>
      </c>
      <c r="G380" s="70">
        <v>5619</v>
      </c>
      <c r="H380" s="71" t="s">
        <v>143</v>
      </c>
      <c r="I380" s="1" t="s">
        <v>119</v>
      </c>
      <c r="J380" t="s">
        <v>57</v>
      </c>
      <c r="K380" s="45">
        <v>9</v>
      </c>
      <c r="L380" s="45" t="s">
        <v>74</v>
      </c>
      <c r="M380" s="4">
        <v>30000</v>
      </c>
      <c r="N380" s="4">
        <f>M380/1.12</f>
        <v>26785.714285714283</v>
      </c>
      <c r="O380" s="4">
        <f t="shared" si="35"/>
        <v>270000</v>
      </c>
      <c r="P380" s="47">
        <f t="shared" si="34"/>
        <v>241071.42857142855</v>
      </c>
      <c r="Q380" s="47">
        <f t="shared" si="33"/>
        <v>28928.571428571449</v>
      </c>
      <c r="R380" s="19"/>
    </row>
    <row r="381" spans="1:18" x14ac:dyDescent="0.35">
      <c r="A381">
        <v>353</v>
      </c>
      <c r="E381" s="1">
        <v>5400</v>
      </c>
      <c r="F381" s="7">
        <v>30</v>
      </c>
      <c r="G381" s="70">
        <v>5620</v>
      </c>
      <c r="H381" s="71" t="s">
        <v>145</v>
      </c>
      <c r="I381" s="1" t="s">
        <v>119</v>
      </c>
      <c r="J381" t="s">
        <v>55</v>
      </c>
      <c r="K381" s="45">
        <v>1</v>
      </c>
      <c r="L381" s="45" t="s">
        <v>69</v>
      </c>
      <c r="M381" s="4">
        <v>215786.67</v>
      </c>
      <c r="O381" s="4">
        <f t="shared" si="35"/>
        <v>215786.67</v>
      </c>
      <c r="P381" s="47">
        <f t="shared" si="34"/>
        <v>0</v>
      </c>
      <c r="Q381" s="47">
        <f t="shared" si="33"/>
        <v>215786.67</v>
      </c>
    </row>
    <row r="382" spans="1:18" x14ac:dyDescent="0.35">
      <c r="A382">
        <v>354</v>
      </c>
      <c r="E382" s="1">
        <v>5400</v>
      </c>
      <c r="F382" s="7">
        <v>30</v>
      </c>
      <c r="G382" s="70">
        <v>5620</v>
      </c>
      <c r="H382" s="71" t="s">
        <v>143</v>
      </c>
      <c r="I382" s="1" t="s">
        <v>119</v>
      </c>
      <c r="J382" t="s">
        <v>13</v>
      </c>
      <c r="K382" s="45">
        <v>8</v>
      </c>
      <c r="L382" s="45" t="s">
        <v>74</v>
      </c>
      <c r="M382" s="57">
        <f>234.02*30</f>
        <v>7020.6</v>
      </c>
      <c r="N382" s="4">
        <f>M382/1.12</f>
        <v>6268.3928571428569</v>
      </c>
      <c r="O382" s="4">
        <f t="shared" si="35"/>
        <v>56164.800000000003</v>
      </c>
      <c r="P382" s="47">
        <f t="shared" si="34"/>
        <v>50147.142857142855</v>
      </c>
      <c r="Q382" s="47">
        <f t="shared" si="33"/>
        <v>6017.6571428571478</v>
      </c>
    </row>
    <row r="383" spans="1:18" x14ac:dyDescent="0.35">
      <c r="A383">
        <v>355</v>
      </c>
      <c r="E383" s="1">
        <v>5400</v>
      </c>
      <c r="F383" s="7">
        <v>30</v>
      </c>
      <c r="G383" s="70">
        <v>5620</v>
      </c>
      <c r="H383" s="71" t="s">
        <v>143</v>
      </c>
      <c r="I383" s="1" t="s">
        <v>119</v>
      </c>
      <c r="J383" t="s">
        <v>14</v>
      </c>
      <c r="K383" s="45">
        <v>8</v>
      </c>
      <c r="L383" s="45" t="s">
        <v>74</v>
      </c>
      <c r="M383" s="57">
        <f>222.26*30</f>
        <v>6667.7999999999993</v>
      </c>
      <c r="N383" s="4">
        <f>M383/1.12</f>
        <v>5953.392857142856</v>
      </c>
      <c r="O383" s="4">
        <f t="shared" si="35"/>
        <v>53342.399999999994</v>
      </c>
      <c r="P383" s="47">
        <f t="shared" si="34"/>
        <v>47627.142857142848</v>
      </c>
      <c r="Q383" s="47">
        <f t="shared" si="33"/>
        <v>5715.2571428571464</v>
      </c>
    </row>
    <row r="384" spans="1:18" x14ac:dyDescent="0.35">
      <c r="A384">
        <v>356</v>
      </c>
      <c r="E384" s="1">
        <v>5400</v>
      </c>
      <c r="F384" s="7">
        <v>30</v>
      </c>
      <c r="G384" s="70">
        <v>5620</v>
      </c>
      <c r="H384" s="71" t="s">
        <v>143</v>
      </c>
      <c r="I384" s="1" t="s">
        <v>119</v>
      </c>
      <c r="J384" t="s">
        <v>57</v>
      </c>
      <c r="K384" s="45">
        <v>9</v>
      </c>
      <c r="L384" s="45" t="s">
        <v>74</v>
      </c>
      <c r="M384" s="4">
        <v>30000</v>
      </c>
      <c r="N384" s="4">
        <f>M384/1.12</f>
        <v>26785.714285714283</v>
      </c>
      <c r="O384" s="4">
        <f t="shared" si="35"/>
        <v>270000</v>
      </c>
      <c r="P384" s="47">
        <f t="shared" si="34"/>
        <v>241071.42857142855</v>
      </c>
      <c r="Q384" s="47">
        <f t="shared" si="33"/>
        <v>28928.571428571449</v>
      </c>
    </row>
    <row r="385" spans="1:18" x14ac:dyDescent="0.35">
      <c r="A385">
        <v>357</v>
      </c>
      <c r="E385" s="1">
        <v>5429</v>
      </c>
      <c r="F385" s="7">
        <v>30</v>
      </c>
      <c r="G385" s="70">
        <v>5621</v>
      </c>
      <c r="H385" s="71" t="s">
        <v>145</v>
      </c>
      <c r="I385" s="1" t="s">
        <v>109</v>
      </c>
      <c r="J385" s="67" t="s">
        <v>26</v>
      </c>
      <c r="K385" s="45">
        <v>140</v>
      </c>
      <c r="L385" s="45" t="s">
        <v>94</v>
      </c>
      <c r="M385" s="4">
        <v>348.3</v>
      </c>
      <c r="N385" s="4">
        <f>M385/1.12</f>
        <v>310.98214285714283</v>
      </c>
      <c r="O385" s="4">
        <f t="shared" si="35"/>
        <v>48762</v>
      </c>
      <c r="P385" s="47">
        <f t="shared" si="34"/>
        <v>43537.5</v>
      </c>
      <c r="Q385" s="47">
        <f t="shared" si="33"/>
        <v>5224.5</v>
      </c>
      <c r="R385" s="19"/>
    </row>
    <row r="386" spans="1:18" x14ac:dyDescent="0.35">
      <c r="A386">
        <v>358</v>
      </c>
      <c r="E386" s="1">
        <v>5429</v>
      </c>
      <c r="F386" s="7">
        <v>30</v>
      </c>
      <c r="G386" s="70">
        <v>5621</v>
      </c>
      <c r="H386" s="71" t="s">
        <v>145</v>
      </c>
      <c r="I386" s="1" t="s">
        <v>109</v>
      </c>
      <c r="J386" s="67" t="s">
        <v>28</v>
      </c>
      <c r="K386" s="45">
        <v>105</v>
      </c>
      <c r="L386" s="45" t="s">
        <v>94</v>
      </c>
      <c r="M386" s="4">
        <v>198.75</v>
      </c>
      <c r="N386" s="4">
        <f>M386/1.12</f>
        <v>177.45535714285714</v>
      </c>
      <c r="O386" s="4">
        <f t="shared" si="35"/>
        <v>20868.75</v>
      </c>
      <c r="P386" s="47">
        <f t="shared" si="34"/>
        <v>18632.8125</v>
      </c>
      <c r="Q386" s="47">
        <f t="shared" si="33"/>
        <v>2235.9375</v>
      </c>
      <c r="R386" s="19"/>
    </row>
    <row r="387" spans="1:18" x14ac:dyDescent="0.35">
      <c r="A387">
        <v>359</v>
      </c>
      <c r="E387" s="1">
        <v>5430</v>
      </c>
      <c r="F387" s="7">
        <v>30</v>
      </c>
      <c r="G387" s="70">
        <v>5622</v>
      </c>
      <c r="H387" s="71" t="s">
        <v>145</v>
      </c>
      <c r="I387" s="1" t="s">
        <v>109</v>
      </c>
      <c r="J387" s="67" t="s">
        <v>29</v>
      </c>
      <c r="K387" s="45">
        <v>300</v>
      </c>
      <c r="L387" s="45" t="s">
        <v>94</v>
      </c>
      <c r="M387" s="4">
        <v>311.04000000000002</v>
      </c>
      <c r="N387" s="4">
        <f>M387/1.12</f>
        <v>277.71428571428572</v>
      </c>
      <c r="O387" s="4">
        <f t="shared" si="35"/>
        <v>93312</v>
      </c>
      <c r="P387" s="47">
        <f t="shared" si="34"/>
        <v>83314.28571428571</v>
      </c>
      <c r="Q387" s="47">
        <f t="shared" si="33"/>
        <v>9997.7142857142899</v>
      </c>
      <c r="R387" s="19"/>
    </row>
    <row r="388" spans="1:18" x14ac:dyDescent="0.35">
      <c r="A388">
        <v>360</v>
      </c>
      <c r="E388" s="1">
        <v>5431</v>
      </c>
      <c r="F388" s="7">
        <v>30</v>
      </c>
      <c r="G388" s="70">
        <v>5623</v>
      </c>
      <c r="H388" s="71" t="s">
        <v>145</v>
      </c>
      <c r="I388" s="53" t="s">
        <v>132</v>
      </c>
      <c r="J388" s="53" t="s">
        <v>19</v>
      </c>
      <c r="K388" s="45">
        <v>64</v>
      </c>
      <c r="L388" s="45" t="s">
        <v>146</v>
      </c>
      <c r="M388" s="4">
        <v>20216</v>
      </c>
      <c r="N388" s="4">
        <f>M388/1.12</f>
        <v>18050</v>
      </c>
      <c r="O388" s="4">
        <f t="shared" si="35"/>
        <v>1293824</v>
      </c>
      <c r="P388" s="47">
        <f t="shared" si="34"/>
        <v>1155200</v>
      </c>
      <c r="Q388" s="47">
        <f t="shared" si="33"/>
        <v>138624</v>
      </c>
      <c r="R388" s="19"/>
    </row>
    <row r="389" spans="1:18" x14ac:dyDescent="0.35">
      <c r="A389">
        <v>361</v>
      </c>
      <c r="E389" s="1">
        <v>5431</v>
      </c>
      <c r="F389" s="7">
        <v>30</v>
      </c>
      <c r="G389" s="70">
        <v>5623</v>
      </c>
      <c r="H389" s="71" t="s">
        <v>145</v>
      </c>
      <c r="I389" s="53" t="s">
        <v>132</v>
      </c>
      <c r="J389" s="72" t="s">
        <v>23</v>
      </c>
      <c r="K389" s="45">
        <v>4</v>
      </c>
      <c r="L389" s="45" t="s">
        <v>146</v>
      </c>
      <c r="M389" s="4">
        <v>9842</v>
      </c>
      <c r="N389" s="4">
        <f>M389/1.12</f>
        <v>8787.5</v>
      </c>
      <c r="O389" s="4">
        <f t="shared" si="35"/>
        <v>39368</v>
      </c>
      <c r="P389" s="47">
        <f t="shared" si="34"/>
        <v>35150</v>
      </c>
      <c r="Q389" s="47">
        <f t="shared" si="33"/>
        <v>4218</v>
      </c>
      <c r="R389" s="19"/>
    </row>
    <row r="390" spans="1:18" x14ac:dyDescent="0.35">
      <c r="A390">
        <v>362</v>
      </c>
      <c r="E390" s="1">
        <v>5431</v>
      </c>
      <c r="F390" s="7">
        <v>30</v>
      </c>
      <c r="G390" s="70">
        <v>5623</v>
      </c>
      <c r="H390" s="71" t="s">
        <v>145</v>
      </c>
      <c r="I390" s="53" t="s">
        <v>132</v>
      </c>
      <c r="J390" s="53" t="s">
        <v>22</v>
      </c>
      <c r="K390" s="45">
        <v>4</v>
      </c>
      <c r="L390" s="45" t="s">
        <v>74</v>
      </c>
      <c r="M390" s="73">
        <v>10214</v>
      </c>
      <c r="N390" s="4">
        <f>M390/1.12</f>
        <v>9119.6428571428569</v>
      </c>
      <c r="O390" s="4">
        <f t="shared" si="35"/>
        <v>40856</v>
      </c>
      <c r="P390" s="47">
        <f t="shared" si="34"/>
        <v>36478.571428571428</v>
      </c>
      <c r="Q390" s="47">
        <f t="shared" si="33"/>
        <v>4377.4285714285725</v>
      </c>
      <c r="R390" s="19"/>
    </row>
    <row r="391" spans="1:18" x14ac:dyDescent="0.35">
      <c r="A391">
        <v>363</v>
      </c>
      <c r="E391" s="1">
        <v>5432</v>
      </c>
      <c r="F391" s="7"/>
      <c r="G391" s="70">
        <v>5624</v>
      </c>
      <c r="H391" s="44">
        <v>250916</v>
      </c>
      <c r="I391" s="53" t="s">
        <v>147</v>
      </c>
      <c r="J391" s="67" t="s">
        <v>26</v>
      </c>
      <c r="K391" s="45">
        <v>6</v>
      </c>
      <c r="L391" s="45" t="s">
        <v>74</v>
      </c>
      <c r="M391" s="6">
        <v>15950</v>
      </c>
      <c r="O391" s="4">
        <f t="shared" si="35"/>
        <v>95700</v>
      </c>
      <c r="P391" s="4">
        <f t="shared" si="34"/>
        <v>0</v>
      </c>
      <c r="Q391" s="47">
        <f t="shared" si="33"/>
        <v>95700</v>
      </c>
      <c r="R391" s="19"/>
    </row>
    <row r="392" spans="1:18" x14ac:dyDescent="0.35">
      <c r="A392">
        <v>364</v>
      </c>
      <c r="E392" s="1">
        <v>5432</v>
      </c>
      <c r="F392" s="7"/>
      <c r="G392" s="70">
        <v>5624</v>
      </c>
      <c r="H392" s="44">
        <v>250916</v>
      </c>
      <c r="I392" s="53" t="s">
        <v>147</v>
      </c>
      <c r="J392" s="53" t="s">
        <v>28</v>
      </c>
      <c r="K392" s="45">
        <v>2</v>
      </c>
      <c r="L392" s="45" t="s">
        <v>74</v>
      </c>
      <c r="M392" s="6">
        <v>8347.5</v>
      </c>
      <c r="O392" s="4">
        <f t="shared" si="35"/>
        <v>16695</v>
      </c>
      <c r="P392" s="4">
        <f t="shared" si="34"/>
        <v>0</v>
      </c>
      <c r="Q392" s="47">
        <f t="shared" ref="Q392:Q422" si="36">O392-P392</f>
        <v>16695</v>
      </c>
      <c r="R392" s="19"/>
    </row>
    <row r="393" spans="1:18" x14ac:dyDescent="0.35">
      <c r="A393">
        <v>365</v>
      </c>
      <c r="F393" s="7"/>
      <c r="G393" s="70">
        <v>5625</v>
      </c>
      <c r="H393" s="71" t="s">
        <v>148</v>
      </c>
      <c r="I393" s="53" t="s">
        <v>93</v>
      </c>
      <c r="J393" s="67" t="s">
        <v>14</v>
      </c>
      <c r="K393" s="45">
        <v>60</v>
      </c>
      <c r="L393" s="45" t="s">
        <v>94</v>
      </c>
      <c r="M393" s="4">
        <v>288.5</v>
      </c>
      <c r="N393" s="4">
        <f>M393/1.12</f>
        <v>257.58928571428567</v>
      </c>
      <c r="O393" s="4">
        <f>M393*K393</f>
        <v>17310</v>
      </c>
      <c r="P393" s="47">
        <f>K393*N393</f>
        <v>15455.357142857139</v>
      </c>
      <c r="Q393" s="47">
        <f>O393-P393</f>
        <v>1854.6428571428605</v>
      </c>
      <c r="R393" s="19"/>
    </row>
    <row r="394" spans="1:18" x14ac:dyDescent="0.35">
      <c r="A394">
        <v>366</v>
      </c>
      <c r="F394" s="7">
        <v>30</v>
      </c>
      <c r="G394" s="70">
        <v>5626</v>
      </c>
      <c r="H394" s="71" t="s">
        <v>149</v>
      </c>
      <c r="I394" s="53" t="s">
        <v>102</v>
      </c>
      <c r="J394" s="53" t="s">
        <v>103</v>
      </c>
      <c r="K394" s="45">
        <v>1</v>
      </c>
      <c r="L394" s="45" t="s">
        <v>69</v>
      </c>
      <c r="M394" s="4">
        <v>29000</v>
      </c>
      <c r="N394" s="4">
        <f>M394/1.12</f>
        <v>25892.857142857141</v>
      </c>
      <c r="O394" s="4">
        <f t="shared" si="35"/>
        <v>29000</v>
      </c>
      <c r="P394" s="47">
        <f t="shared" si="34"/>
        <v>25892.857142857141</v>
      </c>
      <c r="Q394" s="47">
        <f t="shared" si="36"/>
        <v>3107.1428571428587</v>
      </c>
      <c r="R394" s="19"/>
    </row>
    <row r="395" spans="1:18" x14ac:dyDescent="0.35">
      <c r="A395">
        <v>367</v>
      </c>
      <c r="E395" s="1">
        <v>5434</v>
      </c>
      <c r="F395" s="7">
        <v>30</v>
      </c>
      <c r="G395" s="70">
        <v>5627</v>
      </c>
      <c r="H395" s="71" t="s">
        <v>145</v>
      </c>
      <c r="I395" s="74" t="s">
        <v>62</v>
      </c>
      <c r="J395" t="s">
        <v>13</v>
      </c>
      <c r="K395" s="45">
        <v>240</v>
      </c>
      <c r="L395" s="45" t="s">
        <v>94</v>
      </c>
      <c r="M395" s="4">
        <v>358.4</v>
      </c>
      <c r="N395" s="4">
        <f>M395/1.12</f>
        <v>319.99999999999994</v>
      </c>
      <c r="O395" s="4">
        <f t="shared" si="35"/>
        <v>86016</v>
      </c>
      <c r="P395" s="47">
        <f t="shared" si="34"/>
        <v>76799.999999999985</v>
      </c>
      <c r="Q395" s="47">
        <f t="shared" si="36"/>
        <v>9216.0000000000146</v>
      </c>
    </row>
    <row r="396" spans="1:18" x14ac:dyDescent="0.35">
      <c r="A396">
        <v>368</v>
      </c>
      <c r="E396" s="1">
        <v>5435</v>
      </c>
      <c r="F396" s="7">
        <v>30</v>
      </c>
      <c r="G396" s="70">
        <v>5627</v>
      </c>
      <c r="H396" s="71" t="s">
        <v>145</v>
      </c>
      <c r="I396" s="74" t="s">
        <v>62</v>
      </c>
      <c r="J396" t="s">
        <v>14</v>
      </c>
      <c r="K396" s="45">
        <v>270</v>
      </c>
      <c r="L396" s="45" t="s">
        <v>94</v>
      </c>
      <c r="M396" s="4">
        <v>353.92</v>
      </c>
      <c r="N396" s="4">
        <f>M396/1.12</f>
        <v>316</v>
      </c>
      <c r="O396" s="4">
        <f t="shared" si="35"/>
        <v>95558.400000000009</v>
      </c>
      <c r="P396" s="47">
        <f t="shared" si="34"/>
        <v>85320</v>
      </c>
      <c r="Q396" s="47">
        <f t="shared" si="36"/>
        <v>10238.400000000009</v>
      </c>
      <c r="R396" s="19"/>
    </row>
    <row r="397" spans="1:18" x14ac:dyDescent="0.35">
      <c r="A397">
        <v>369</v>
      </c>
      <c r="E397" s="1">
        <v>5436</v>
      </c>
      <c r="F397" s="7">
        <v>30</v>
      </c>
      <c r="G397" s="70">
        <v>5627</v>
      </c>
      <c r="H397" s="71" t="s">
        <v>145</v>
      </c>
      <c r="I397" s="74" t="s">
        <v>62</v>
      </c>
      <c r="J397" t="s">
        <v>8</v>
      </c>
      <c r="K397" s="45">
        <v>350</v>
      </c>
      <c r="L397" s="45" t="s">
        <v>94</v>
      </c>
      <c r="M397" s="4">
        <v>364</v>
      </c>
      <c r="N397" s="4">
        <f>M397/1.12</f>
        <v>324.99999999999994</v>
      </c>
      <c r="O397" s="4">
        <f t="shared" si="35"/>
        <v>127400</v>
      </c>
      <c r="P397" s="47">
        <f t="shared" si="34"/>
        <v>113749.99999999999</v>
      </c>
      <c r="Q397" s="47">
        <f t="shared" si="36"/>
        <v>13650.000000000015</v>
      </c>
      <c r="R397" s="19"/>
    </row>
    <row r="398" spans="1:18" x14ac:dyDescent="0.35">
      <c r="A398">
        <v>370</v>
      </c>
      <c r="E398" s="1">
        <v>5437</v>
      </c>
      <c r="F398" s="7">
        <v>30</v>
      </c>
      <c r="G398" s="70">
        <v>5627</v>
      </c>
      <c r="H398" s="71" t="s">
        <v>145</v>
      </c>
      <c r="I398" s="74" t="s">
        <v>62</v>
      </c>
      <c r="J398" s="53" t="s">
        <v>65</v>
      </c>
      <c r="K398" s="45">
        <v>300</v>
      </c>
      <c r="L398" s="45" t="s">
        <v>94</v>
      </c>
      <c r="M398" s="4">
        <v>20.38</v>
      </c>
      <c r="N398" s="4">
        <f>M398/1.12</f>
        <v>18.196428571428569</v>
      </c>
      <c r="O398" s="4">
        <f t="shared" si="35"/>
        <v>6114</v>
      </c>
      <c r="P398" s="47">
        <f t="shared" si="34"/>
        <v>5458.9285714285706</v>
      </c>
      <c r="Q398" s="47">
        <f t="shared" si="36"/>
        <v>655.07142857142935</v>
      </c>
      <c r="R398" s="19"/>
    </row>
    <row r="399" spans="1:18" x14ac:dyDescent="0.35">
      <c r="A399">
        <v>371</v>
      </c>
      <c r="E399" s="1">
        <v>5438</v>
      </c>
      <c r="F399" s="7">
        <v>30</v>
      </c>
      <c r="G399" s="70">
        <v>5628</v>
      </c>
      <c r="H399" s="71" t="s">
        <v>145</v>
      </c>
      <c r="I399" s="53" t="s">
        <v>101</v>
      </c>
      <c r="J399" s="67" t="s">
        <v>10</v>
      </c>
      <c r="K399" s="45">
        <v>200</v>
      </c>
      <c r="L399" s="45" t="s">
        <v>59</v>
      </c>
      <c r="M399" s="4">
        <v>710</v>
      </c>
      <c r="N399" s="4">
        <f>M399/1.12</f>
        <v>633.92857142857133</v>
      </c>
      <c r="O399" s="4">
        <f t="shared" si="35"/>
        <v>142000</v>
      </c>
      <c r="P399" s="47">
        <f t="shared" si="34"/>
        <v>126785.71428571426</v>
      </c>
      <c r="Q399" s="47">
        <f t="shared" si="36"/>
        <v>15214.285714285739</v>
      </c>
      <c r="R399" s="19"/>
    </row>
    <row r="400" spans="1:18" x14ac:dyDescent="0.35">
      <c r="A400">
        <v>372</v>
      </c>
      <c r="E400" s="1">
        <v>5439</v>
      </c>
      <c r="F400" s="7">
        <v>30</v>
      </c>
      <c r="G400" s="70">
        <v>5629</v>
      </c>
      <c r="H400" s="71" t="s">
        <v>150</v>
      </c>
      <c r="I400" s="53" t="s">
        <v>58</v>
      </c>
      <c r="J400" s="67" t="s">
        <v>10</v>
      </c>
      <c r="K400" s="45">
        <v>200</v>
      </c>
      <c r="L400" s="45" t="s">
        <v>59</v>
      </c>
      <c r="M400" s="4">
        <v>710</v>
      </c>
      <c r="N400" s="4">
        <f>M400/1.12</f>
        <v>633.92857142857133</v>
      </c>
      <c r="O400" s="4">
        <f t="shared" si="35"/>
        <v>142000</v>
      </c>
      <c r="P400" s="47">
        <f t="shared" si="34"/>
        <v>126785.71428571426</v>
      </c>
      <c r="Q400" s="47">
        <f t="shared" si="36"/>
        <v>15214.285714285739</v>
      </c>
      <c r="R400" s="19"/>
    </row>
    <row r="401" spans="1:18" x14ac:dyDescent="0.35">
      <c r="A401">
        <v>373</v>
      </c>
      <c r="E401" s="1">
        <v>5439</v>
      </c>
      <c r="F401" s="7">
        <v>30</v>
      </c>
      <c r="G401" s="70">
        <v>5629</v>
      </c>
      <c r="H401" s="71" t="s">
        <v>150</v>
      </c>
      <c r="I401" s="53" t="s">
        <v>58</v>
      </c>
      <c r="J401" s="67" t="s">
        <v>18</v>
      </c>
      <c r="K401" s="45">
        <v>50</v>
      </c>
      <c r="L401" s="45" t="s">
        <v>59</v>
      </c>
      <c r="M401" s="4">
        <v>1765</v>
      </c>
      <c r="N401" s="4">
        <f>M401/1.12</f>
        <v>1575.8928571428569</v>
      </c>
      <c r="O401" s="4">
        <f t="shared" si="35"/>
        <v>88250</v>
      </c>
      <c r="P401" s="47">
        <f t="shared" si="34"/>
        <v>78794.642857142841</v>
      </c>
      <c r="Q401" s="47">
        <f t="shared" si="36"/>
        <v>9455.3571428571595</v>
      </c>
      <c r="R401" s="19"/>
    </row>
    <row r="402" spans="1:18" x14ac:dyDescent="0.35">
      <c r="A402">
        <v>374</v>
      </c>
      <c r="E402" s="1">
        <v>5440</v>
      </c>
      <c r="F402" s="7">
        <v>30</v>
      </c>
      <c r="G402" s="70">
        <v>5630</v>
      </c>
      <c r="H402" s="71" t="s">
        <v>150</v>
      </c>
      <c r="I402" s="53" t="s">
        <v>58</v>
      </c>
      <c r="J402" s="67" t="s">
        <v>10</v>
      </c>
      <c r="K402" s="45">
        <v>300</v>
      </c>
      <c r="L402" s="45" t="s">
        <v>59</v>
      </c>
      <c r="M402" s="4">
        <v>710</v>
      </c>
      <c r="N402" s="4">
        <f>M402/1.12</f>
        <v>633.92857142857133</v>
      </c>
      <c r="O402" s="4">
        <f t="shared" si="35"/>
        <v>213000</v>
      </c>
      <c r="P402" s="47">
        <f t="shared" si="34"/>
        <v>190178.57142857139</v>
      </c>
      <c r="Q402" s="47">
        <f t="shared" si="36"/>
        <v>22821.428571428609</v>
      </c>
      <c r="R402" s="19"/>
    </row>
    <row r="403" spans="1:18" x14ac:dyDescent="0.35">
      <c r="A403">
        <v>375</v>
      </c>
      <c r="E403" s="1">
        <v>5441</v>
      </c>
      <c r="F403" s="7">
        <v>30</v>
      </c>
      <c r="G403" s="70">
        <v>5631</v>
      </c>
      <c r="H403" s="71" t="s">
        <v>151</v>
      </c>
      <c r="I403" s="53" t="s">
        <v>72</v>
      </c>
      <c r="J403" t="s">
        <v>13</v>
      </c>
      <c r="K403" s="45">
        <v>660</v>
      </c>
      <c r="L403" s="45" t="s">
        <v>94</v>
      </c>
      <c r="M403" s="4"/>
      <c r="N403" s="4">
        <v>300.5</v>
      </c>
      <c r="O403" s="4">
        <f t="shared" si="35"/>
        <v>0</v>
      </c>
      <c r="P403" s="47">
        <f t="shared" si="34"/>
        <v>198330</v>
      </c>
      <c r="Q403" s="47">
        <v>0</v>
      </c>
      <c r="R403" s="19"/>
    </row>
    <row r="404" spans="1:18" x14ac:dyDescent="0.35">
      <c r="A404">
        <v>376</v>
      </c>
      <c r="E404" s="1">
        <v>5441</v>
      </c>
      <c r="F404" s="7">
        <v>30</v>
      </c>
      <c r="G404" s="70">
        <v>5631</v>
      </c>
      <c r="H404" s="71" t="s">
        <v>151</v>
      </c>
      <c r="I404" s="53" t="s">
        <v>72</v>
      </c>
      <c r="J404" t="s">
        <v>15</v>
      </c>
      <c r="K404" s="45">
        <v>750</v>
      </c>
      <c r="L404" s="45" t="s">
        <v>94</v>
      </c>
      <c r="M404" s="4"/>
      <c r="N404" s="4">
        <v>288.5</v>
      </c>
      <c r="O404" s="4">
        <f t="shared" si="35"/>
        <v>0</v>
      </c>
      <c r="P404" s="47">
        <f t="shared" si="34"/>
        <v>216375</v>
      </c>
      <c r="Q404" s="47">
        <v>0</v>
      </c>
      <c r="R404" s="19"/>
    </row>
    <row r="405" spans="1:18" x14ac:dyDescent="0.35">
      <c r="A405">
        <v>377</v>
      </c>
      <c r="E405" s="1">
        <v>5441</v>
      </c>
      <c r="F405" s="7">
        <v>30</v>
      </c>
      <c r="G405" s="70">
        <v>5631</v>
      </c>
      <c r="H405" s="71" t="s">
        <v>152</v>
      </c>
      <c r="I405" s="53" t="s">
        <v>72</v>
      </c>
      <c r="J405" t="s">
        <v>57</v>
      </c>
      <c r="K405" s="45">
        <v>700</v>
      </c>
      <c r="L405" s="45" t="s">
        <v>94</v>
      </c>
      <c r="M405" s="4"/>
      <c r="N405" s="4">
        <v>304.75</v>
      </c>
      <c r="O405" s="4">
        <f t="shared" si="35"/>
        <v>0</v>
      </c>
      <c r="P405" s="47">
        <f t="shared" si="34"/>
        <v>213325</v>
      </c>
      <c r="Q405" s="47">
        <v>0</v>
      </c>
    </row>
    <row r="406" spans="1:18" x14ac:dyDescent="0.35">
      <c r="A406">
        <v>378</v>
      </c>
      <c r="E406" s="1">
        <v>5442</v>
      </c>
      <c r="F406" s="7">
        <v>30</v>
      </c>
      <c r="G406" s="70">
        <v>5632</v>
      </c>
      <c r="H406" s="71" t="s">
        <v>151</v>
      </c>
      <c r="I406" s="53" t="s">
        <v>81</v>
      </c>
      <c r="J406" s="67" t="s">
        <v>26</v>
      </c>
      <c r="K406" s="45">
        <v>3</v>
      </c>
      <c r="L406" s="45" t="s">
        <v>74</v>
      </c>
      <c r="M406" s="4">
        <v>11500.1</v>
      </c>
      <c r="N406" s="4">
        <f>M406/1.12</f>
        <v>10267.946428571428</v>
      </c>
      <c r="O406" s="4">
        <f t="shared" si="35"/>
        <v>34500.300000000003</v>
      </c>
      <c r="P406" s="47">
        <f t="shared" si="34"/>
        <v>30803.839285714283</v>
      </c>
      <c r="Q406" s="47">
        <f t="shared" si="36"/>
        <v>3696.4607142857203</v>
      </c>
      <c r="R406" s="19"/>
    </row>
    <row r="407" spans="1:18" x14ac:dyDescent="0.35">
      <c r="A407">
        <v>379</v>
      </c>
      <c r="E407" s="1">
        <v>5442</v>
      </c>
      <c r="F407" s="7">
        <v>30</v>
      </c>
      <c r="G407" s="70">
        <v>5632</v>
      </c>
      <c r="H407" s="71" t="s">
        <v>151</v>
      </c>
      <c r="I407" s="53" t="s">
        <v>81</v>
      </c>
      <c r="J407" s="67" t="s">
        <v>28</v>
      </c>
      <c r="K407" s="45">
        <v>1</v>
      </c>
      <c r="L407" s="45" t="s">
        <v>74</v>
      </c>
      <c r="M407" s="4">
        <v>5885.9</v>
      </c>
      <c r="N407" s="4">
        <f>M407/1.12</f>
        <v>5255.267857142856</v>
      </c>
      <c r="O407" s="4">
        <f t="shared" si="35"/>
        <v>5885.9</v>
      </c>
      <c r="P407" s="47">
        <f t="shared" si="34"/>
        <v>5255.267857142856</v>
      </c>
      <c r="Q407" s="47">
        <f t="shared" si="36"/>
        <v>630.63214285714366</v>
      </c>
      <c r="R407" s="19"/>
    </row>
    <row r="408" spans="1:18" x14ac:dyDescent="0.35">
      <c r="A408">
        <v>380</v>
      </c>
      <c r="E408" s="1">
        <v>5442</v>
      </c>
      <c r="F408" s="7">
        <v>30</v>
      </c>
      <c r="G408" s="70">
        <v>5632</v>
      </c>
      <c r="H408" s="71" t="s">
        <v>151</v>
      </c>
      <c r="I408" s="53" t="s">
        <v>81</v>
      </c>
      <c r="J408" t="s">
        <v>13</v>
      </c>
      <c r="K408" s="45">
        <v>6</v>
      </c>
      <c r="L408" s="45" t="s">
        <v>74</v>
      </c>
      <c r="M408" s="4">
        <v>7371.84</v>
      </c>
      <c r="N408" s="4">
        <f>M408/1.12</f>
        <v>6581.9999999999991</v>
      </c>
      <c r="O408" s="4">
        <f t="shared" si="35"/>
        <v>44231.040000000001</v>
      </c>
      <c r="P408" s="47">
        <f t="shared" si="34"/>
        <v>39491.999999999993</v>
      </c>
      <c r="Q408" s="47">
        <f t="shared" si="36"/>
        <v>4739.0400000000081</v>
      </c>
      <c r="R408" s="19"/>
    </row>
    <row r="409" spans="1:18" x14ac:dyDescent="0.35">
      <c r="A409">
        <v>381</v>
      </c>
      <c r="E409" s="1">
        <v>5442</v>
      </c>
      <c r="F409" s="7">
        <v>30</v>
      </c>
      <c r="G409" s="70">
        <v>5632</v>
      </c>
      <c r="H409" s="71" t="s">
        <v>151</v>
      </c>
      <c r="I409" s="53" t="s">
        <v>81</v>
      </c>
      <c r="J409" t="s">
        <v>14</v>
      </c>
      <c r="K409" s="45">
        <v>4</v>
      </c>
      <c r="L409" s="45" t="s">
        <v>74</v>
      </c>
      <c r="M409" s="4">
        <v>7001.23</v>
      </c>
      <c r="N409" s="4">
        <f>M409/1.12</f>
        <v>6251.0982142857129</v>
      </c>
      <c r="O409" s="4">
        <f t="shared" si="35"/>
        <v>28004.92</v>
      </c>
      <c r="P409" s="47">
        <f t="shared" si="34"/>
        <v>25004.392857142851</v>
      </c>
      <c r="Q409" s="47">
        <f t="shared" si="36"/>
        <v>3000.5271428571468</v>
      </c>
      <c r="R409" s="19"/>
    </row>
    <row r="410" spans="1:18" x14ac:dyDescent="0.35">
      <c r="A410">
        <v>382</v>
      </c>
      <c r="E410" s="1">
        <v>5442</v>
      </c>
      <c r="F410" s="7">
        <v>30</v>
      </c>
      <c r="G410" s="70">
        <v>5632</v>
      </c>
      <c r="H410" s="71" t="s">
        <v>151</v>
      </c>
      <c r="I410" s="53" t="s">
        <v>81</v>
      </c>
      <c r="J410" t="s">
        <v>57</v>
      </c>
      <c r="K410" s="45">
        <v>1</v>
      </c>
      <c r="L410" s="45" t="s">
        <v>74</v>
      </c>
      <c r="M410" s="4">
        <v>6300</v>
      </c>
      <c r="N410" s="4">
        <f>M410/1.12</f>
        <v>5624.9999999999991</v>
      </c>
      <c r="O410" s="4">
        <f t="shared" si="35"/>
        <v>6300</v>
      </c>
      <c r="P410" s="47">
        <f t="shared" si="34"/>
        <v>5624.9999999999991</v>
      </c>
      <c r="Q410" s="47">
        <f t="shared" si="36"/>
        <v>675.00000000000091</v>
      </c>
      <c r="R410" s="19"/>
    </row>
    <row r="411" spans="1:18" x14ac:dyDescent="0.35">
      <c r="A411">
        <v>383</v>
      </c>
      <c r="E411" s="1">
        <v>5443</v>
      </c>
      <c r="F411" s="7">
        <v>30</v>
      </c>
      <c r="G411" s="70">
        <v>5633</v>
      </c>
      <c r="H411" s="71" t="s">
        <v>153</v>
      </c>
      <c r="I411" s="53" t="s">
        <v>81</v>
      </c>
      <c r="J411" s="67" t="s">
        <v>26</v>
      </c>
      <c r="K411" s="45">
        <v>10</v>
      </c>
      <c r="L411" s="45" t="s">
        <v>74</v>
      </c>
      <c r="M411" s="4">
        <v>11500.1</v>
      </c>
      <c r="N411" s="4">
        <f>M411/1.12</f>
        <v>10267.946428571428</v>
      </c>
      <c r="O411" s="4">
        <f t="shared" si="35"/>
        <v>115001</v>
      </c>
      <c r="P411" s="47">
        <f t="shared" si="34"/>
        <v>102679.46428571428</v>
      </c>
      <c r="Q411" s="47">
        <f t="shared" si="36"/>
        <v>12321.535714285725</v>
      </c>
      <c r="R411" s="19"/>
    </row>
    <row r="412" spans="1:18" x14ac:dyDescent="0.35">
      <c r="A412">
        <v>384</v>
      </c>
      <c r="E412" s="1">
        <v>5443</v>
      </c>
      <c r="F412" s="7">
        <v>30</v>
      </c>
      <c r="G412" s="70">
        <v>5633</v>
      </c>
      <c r="H412" s="71" t="s">
        <v>153</v>
      </c>
      <c r="I412" s="53" t="s">
        <v>81</v>
      </c>
      <c r="J412" s="67" t="s">
        <v>28</v>
      </c>
      <c r="K412" s="45">
        <v>2</v>
      </c>
      <c r="L412" s="45" t="s">
        <v>74</v>
      </c>
      <c r="M412" s="4">
        <v>5885.9</v>
      </c>
      <c r="N412" s="4">
        <f>M412/1.12</f>
        <v>5255.267857142856</v>
      </c>
      <c r="O412" s="4">
        <f t="shared" si="35"/>
        <v>11771.8</v>
      </c>
      <c r="P412" s="47">
        <f t="shared" si="34"/>
        <v>10510.535714285712</v>
      </c>
      <c r="Q412" s="47">
        <f t="shared" si="36"/>
        <v>1261.2642857142873</v>
      </c>
      <c r="R412" s="19"/>
    </row>
    <row r="413" spans="1:18" x14ac:dyDescent="0.35">
      <c r="A413">
        <v>385</v>
      </c>
      <c r="E413" s="1">
        <v>5444</v>
      </c>
      <c r="F413" s="7"/>
      <c r="G413" s="70">
        <v>5634</v>
      </c>
      <c r="H413" s="71" t="s">
        <v>154</v>
      </c>
      <c r="I413" s="53" t="s">
        <v>109</v>
      </c>
      <c r="J413" t="s">
        <v>57</v>
      </c>
      <c r="K413" s="45">
        <v>250</v>
      </c>
      <c r="L413" s="45" t="s">
        <v>94</v>
      </c>
      <c r="M413" s="4">
        <v>291.2</v>
      </c>
      <c r="N413" s="4">
        <f>M413/1.12</f>
        <v>259.99999999999994</v>
      </c>
      <c r="O413" s="4">
        <f t="shared" si="35"/>
        <v>72800</v>
      </c>
      <c r="P413" s="47">
        <f t="shared" si="34"/>
        <v>64999.999999999985</v>
      </c>
      <c r="Q413" s="47">
        <f t="shared" si="36"/>
        <v>7800.0000000000146</v>
      </c>
      <c r="R413" s="19"/>
    </row>
    <row r="414" spans="1:18" x14ac:dyDescent="0.35">
      <c r="A414">
        <v>386</v>
      </c>
      <c r="E414" s="1">
        <v>5447</v>
      </c>
      <c r="F414" s="7"/>
      <c r="G414" s="70">
        <v>5635</v>
      </c>
      <c r="H414" s="75"/>
      <c r="I414" s="53" t="s">
        <v>58</v>
      </c>
      <c r="J414" s="67" t="s">
        <v>10</v>
      </c>
      <c r="K414" s="45">
        <v>200</v>
      </c>
      <c r="L414" s="45" t="s">
        <v>59</v>
      </c>
      <c r="M414" s="4">
        <v>710</v>
      </c>
      <c r="N414" s="4">
        <f>M414/1.12</f>
        <v>633.92857142857133</v>
      </c>
      <c r="O414" s="4">
        <f t="shared" si="35"/>
        <v>142000</v>
      </c>
      <c r="P414" s="47">
        <f t="shared" si="34"/>
        <v>126785.71428571426</v>
      </c>
      <c r="Q414" s="47">
        <f t="shared" si="36"/>
        <v>15214.285714285739</v>
      </c>
      <c r="R414" s="19"/>
    </row>
    <row r="415" spans="1:18" x14ac:dyDescent="0.35">
      <c r="A415">
        <v>387</v>
      </c>
      <c r="E415" s="1">
        <v>5448</v>
      </c>
      <c r="F415" s="7">
        <v>30</v>
      </c>
      <c r="G415" s="70">
        <v>5636</v>
      </c>
      <c r="H415" s="71" t="s">
        <v>154</v>
      </c>
      <c r="I415" s="53" t="s">
        <v>81</v>
      </c>
      <c r="J415" s="67" t="s">
        <v>25</v>
      </c>
      <c r="K415" s="45">
        <v>6</v>
      </c>
      <c r="L415" s="45" t="s">
        <v>74</v>
      </c>
      <c r="M415" s="47">
        <v>3528</v>
      </c>
      <c r="N415" s="4">
        <f>M415/1.12</f>
        <v>3149.9999999999995</v>
      </c>
      <c r="O415" s="4">
        <f t="shared" si="35"/>
        <v>21168</v>
      </c>
      <c r="P415" s="47">
        <f t="shared" si="34"/>
        <v>18899.999999999996</v>
      </c>
      <c r="Q415" s="47">
        <f t="shared" si="36"/>
        <v>2268.0000000000036</v>
      </c>
      <c r="R415" s="19"/>
    </row>
    <row r="416" spans="1:18" x14ac:dyDescent="0.35">
      <c r="A416">
        <v>388</v>
      </c>
      <c r="E416" s="1">
        <v>5448</v>
      </c>
      <c r="F416" s="7">
        <v>30</v>
      </c>
      <c r="G416" s="70">
        <v>5636</v>
      </c>
      <c r="H416" s="71" t="s">
        <v>154</v>
      </c>
      <c r="I416" s="53" t="s">
        <v>81</v>
      </c>
      <c r="J416" s="67" t="s">
        <v>30</v>
      </c>
      <c r="K416" s="45">
        <v>2</v>
      </c>
      <c r="L416" s="45" t="s">
        <v>74</v>
      </c>
      <c r="M416" s="47">
        <v>5880</v>
      </c>
      <c r="N416" s="4">
        <f>M416/1.12</f>
        <v>5249.9999999999991</v>
      </c>
      <c r="O416" s="4">
        <f t="shared" si="35"/>
        <v>11760</v>
      </c>
      <c r="P416" s="47">
        <f t="shared" si="34"/>
        <v>10499.999999999998</v>
      </c>
      <c r="Q416" s="47">
        <f t="shared" si="36"/>
        <v>1260.0000000000018</v>
      </c>
      <c r="R416" s="19"/>
    </row>
    <row r="417" spans="1:18" x14ac:dyDescent="0.35">
      <c r="A417">
        <v>389</v>
      </c>
      <c r="E417" s="1">
        <v>5449</v>
      </c>
      <c r="F417" s="7"/>
      <c r="G417" s="70">
        <v>5637</v>
      </c>
      <c r="H417" s="71" t="s">
        <v>155</v>
      </c>
      <c r="I417" s="53" t="s">
        <v>101</v>
      </c>
      <c r="J417" s="67" t="s">
        <v>10</v>
      </c>
      <c r="K417" s="45">
        <v>200</v>
      </c>
      <c r="L417" s="45" t="s">
        <v>59</v>
      </c>
      <c r="M417" s="4">
        <v>710</v>
      </c>
      <c r="N417" s="4">
        <f>M417/1.12</f>
        <v>633.92857142857133</v>
      </c>
      <c r="O417" s="4">
        <f t="shared" si="35"/>
        <v>142000</v>
      </c>
      <c r="P417" s="47">
        <f t="shared" si="34"/>
        <v>126785.71428571426</v>
      </c>
      <c r="Q417" s="47">
        <f t="shared" si="36"/>
        <v>15214.285714285739</v>
      </c>
      <c r="R417" s="19"/>
    </row>
    <row r="418" spans="1:18" x14ac:dyDescent="0.35">
      <c r="A418">
        <v>390</v>
      </c>
      <c r="E418" s="1">
        <v>5450</v>
      </c>
      <c r="F418" s="7"/>
      <c r="G418" s="70">
        <v>5638</v>
      </c>
      <c r="H418" s="71" t="s">
        <v>156</v>
      </c>
      <c r="I418" s="53" t="s">
        <v>147</v>
      </c>
      <c r="J418" s="67" t="s">
        <v>26</v>
      </c>
      <c r="K418" s="45">
        <v>6</v>
      </c>
      <c r="L418" s="45" t="s">
        <v>74</v>
      </c>
      <c r="M418" s="6">
        <v>15950</v>
      </c>
      <c r="O418" s="4">
        <f t="shared" si="35"/>
        <v>95700</v>
      </c>
      <c r="P418" s="4">
        <f t="shared" si="34"/>
        <v>0</v>
      </c>
      <c r="Q418" s="47">
        <f t="shared" si="36"/>
        <v>95700</v>
      </c>
      <c r="R418" s="19"/>
    </row>
    <row r="419" spans="1:18" x14ac:dyDescent="0.35">
      <c r="A419">
        <v>391</v>
      </c>
      <c r="E419" s="1">
        <v>5450</v>
      </c>
      <c r="F419" s="7"/>
      <c r="G419" s="70">
        <v>5638</v>
      </c>
      <c r="H419" s="71" t="s">
        <v>155</v>
      </c>
      <c r="I419" s="53" t="s">
        <v>147</v>
      </c>
      <c r="J419" s="53" t="s">
        <v>28</v>
      </c>
      <c r="K419" s="45">
        <v>2</v>
      </c>
      <c r="L419" s="45" t="s">
        <v>74</v>
      </c>
      <c r="M419" s="6">
        <v>8347.5</v>
      </c>
      <c r="O419" s="4">
        <f t="shared" si="35"/>
        <v>16695</v>
      </c>
      <c r="P419" s="4">
        <f t="shared" si="34"/>
        <v>0</v>
      </c>
      <c r="Q419" s="47">
        <f t="shared" si="36"/>
        <v>16695</v>
      </c>
      <c r="R419" s="19"/>
    </row>
    <row r="420" spans="1:18" x14ac:dyDescent="0.35">
      <c r="A420">
        <v>392</v>
      </c>
      <c r="E420" s="1">
        <v>5448</v>
      </c>
      <c r="F420" s="7"/>
      <c r="G420" s="70">
        <v>5639</v>
      </c>
      <c r="H420" s="71" t="s">
        <v>157</v>
      </c>
      <c r="I420" s="53" t="s">
        <v>116</v>
      </c>
      <c r="J420" s="76" t="s">
        <v>55</v>
      </c>
      <c r="K420" s="45">
        <v>1</v>
      </c>
      <c r="L420" s="67" t="s">
        <v>69</v>
      </c>
      <c r="M420" s="4">
        <v>273358.98</v>
      </c>
      <c r="N420" s="4">
        <f>M420/1.12</f>
        <v>244070.51785714281</v>
      </c>
      <c r="O420" s="4">
        <f t="shared" si="35"/>
        <v>273358.98</v>
      </c>
      <c r="P420" s="47">
        <f t="shared" si="34"/>
        <v>244070.51785714281</v>
      </c>
      <c r="Q420" s="47">
        <f t="shared" si="36"/>
        <v>29288.46214285717</v>
      </c>
      <c r="R420" s="19"/>
    </row>
    <row r="421" spans="1:18" x14ac:dyDescent="0.35">
      <c r="A421">
        <v>393</v>
      </c>
      <c r="G421" s="77"/>
      <c r="H421" s="78"/>
      <c r="I421" s="1"/>
      <c r="J421" s="53"/>
      <c r="K421" s="54"/>
      <c r="L421" s="20"/>
      <c r="M421" s="60"/>
      <c r="N421" s="4">
        <f t="shared" ref="N421:N422" si="37">M421/1.12</f>
        <v>0</v>
      </c>
      <c r="O421" s="4">
        <f t="shared" si="35"/>
        <v>0</v>
      </c>
      <c r="P421" s="47">
        <f t="shared" si="34"/>
        <v>0</v>
      </c>
      <c r="Q421" s="47">
        <f t="shared" si="36"/>
        <v>0</v>
      </c>
      <c r="R421" s="19"/>
    </row>
    <row r="422" spans="1:18" x14ac:dyDescent="0.35">
      <c r="A422">
        <v>394</v>
      </c>
      <c r="G422" s="77"/>
      <c r="I422" s="1"/>
      <c r="J422" s="53"/>
      <c r="K422" s="54"/>
      <c r="L422" s="20"/>
      <c r="M422" s="60"/>
      <c r="N422" s="4">
        <f t="shared" si="37"/>
        <v>0</v>
      </c>
      <c r="O422" s="4">
        <f t="shared" si="35"/>
        <v>0</v>
      </c>
      <c r="P422" s="47">
        <f t="shared" si="34"/>
        <v>0</v>
      </c>
      <c r="Q422" s="47">
        <f t="shared" si="36"/>
        <v>0</v>
      </c>
      <c r="R422" s="19"/>
    </row>
    <row r="423" spans="1:18" x14ac:dyDescent="0.35">
      <c r="A423">
        <v>395</v>
      </c>
    </row>
    <row r="424" spans="1:18" x14ac:dyDescent="0.35">
      <c r="A424">
        <v>396</v>
      </c>
    </row>
    <row r="425" spans="1:18" x14ac:dyDescent="0.35">
      <c r="A425">
        <v>397</v>
      </c>
    </row>
    <row r="426" spans="1:18" x14ac:dyDescent="0.35">
      <c r="A426">
        <v>398</v>
      </c>
    </row>
    <row r="427" spans="1:18" x14ac:dyDescent="0.35">
      <c r="A427">
        <v>399</v>
      </c>
    </row>
    <row r="428" spans="1:18" x14ac:dyDescent="0.35">
      <c r="A428">
        <v>400</v>
      </c>
    </row>
    <row r="429" spans="1:18" x14ac:dyDescent="0.35">
      <c r="A429">
        <v>401</v>
      </c>
    </row>
    <row r="430" spans="1:18" x14ac:dyDescent="0.35">
      <c r="A430">
        <v>402</v>
      </c>
    </row>
    <row r="431" spans="1:18" x14ac:dyDescent="0.35">
      <c r="A431">
        <v>403</v>
      </c>
    </row>
    <row r="432" spans="1:18" x14ac:dyDescent="0.35">
      <c r="A432">
        <v>404</v>
      </c>
    </row>
    <row r="433" spans="1:1" x14ac:dyDescent="0.35">
      <c r="A433">
        <v>405</v>
      </c>
    </row>
    <row r="434" spans="1:1" x14ac:dyDescent="0.35">
      <c r="A434">
        <v>406</v>
      </c>
    </row>
    <row r="435" spans="1:1" x14ac:dyDescent="0.35">
      <c r="A435">
        <v>407</v>
      </c>
    </row>
    <row r="436" spans="1:1" x14ac:dyDescent="0.35">
      <c r="A436">
        <v>408</v>
      </c>
    </row>
    <row r="437" spans="1:1" x14ac:dyDescent="0.35">
      <c r="A437">
        <v>409</v>
      </c>
    </row>
    <row r="438" spans="1:1" x14ac:dyDescent="0.35">
      <c r="A438">
        <v>410</v>
      </c>
    </row>
  </sheetData>
  <pageMargins left="0.7" right="0.7" top="0.75" bottom="0.75" header="0.3" footer="0.3"/>
  <pageSetup orientation="landscape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MNL SI BASIC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NQL</dc:creator>
  <cp:lastModifiedBy>NQL</cp:lastModifiedBy>
  <dcterms:created xsi:type="dcterms:W3CDTF">2025-10-28T08:10:28Z</dcterms:created>
  <dcterms:modified xsi:type="dcterms:W3CDTF">2025-10-28T08:14:42Z</dcterms:modified>
</cp:coreProperties>
</file>