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CERTS\"/>
    </mc:Choice>
  </mc:AlternateContent>
  <xr:revisionPtr revIDLastSave="0" documentId="8_{46181FDD-6D52-4283-8D6A-A19B3243C38C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8" i="1" l="1"/>
  <c r="H87" i="1"/>
  <c r="J87" i="1" s="1"/>
  <c r="G86" i="1"/>
  <c r="I86" i="1" s="1"/>
  <c r="J86" i="1" s="1"/>
  <c r="H84" i="1"/>
  <c r="J84" i="1" s="1"/>
  <c r="H83" i="1"/>
  <c r="J83" i="1" s="1"/>
  <c r="H82" i="1"/>
  <c r="J82" i="1" s="1"/>
  <c r="H81" i="1"/>
  <c r="J81" i="1" s="1"/>
  <c r="H80" i="1"/>
  <c r="J80" i="1" s="1"/>
  <c r="G79" i="1"/>
  <c r="I79" i="1" s="1"/>
  <c r="J79" i="1" s="1"/>
  <c r="H78" i="1"/>
  <c r="J78" i="1" s="1"/>
  <c r="J77" i="1"/>
  <c r="H77" i="1"/>
  <c r="H76" i="1"/>
  <c r="J76" i="1" s="1"/>
  <c r="H75" i="1"/>
  <c r="J75" i="1" s="1"/>
  <c r="H74" i="1"/>
  <c r="J74" i="1" s="1"/>
  <c r="H73" i="1"/>
  <c r="J73" i="1" s="1"/>
  <c r="H72" i="1"/>
  <c r="J72" i="1" s="1"/>
  <c r="H71" i="1"/>
  <c r="J71" i="1" s="1"/>
  <c r="H70" i="1"/>
  <c r="J70" i="1" s="1"/>
  <c r="H69" i="1"/>
  <c r="J69" i="1" s="1"/>
  <c r="H68" i="1"/>
  <c r="J68" i="1" s="1"/>
  <c r="H67" i="1"/>
  <c r="J67" i="1" s="1"/>
  <c r="H66" i="1"/>
  <c r="J66" i="1" s="1"/>
  <c r="J65" i="1"/>
  <c r="H65" i="1"/>
  <c r="G64" i="1"/>
  <c r="H62" i="1"/>
  <c r="J62" i="1" s="1"/>
  <c r="H61" i="1"/>
  <c r="J61" i="1" s="1"/>
  <c r="H60" i="1"/>
  <c r="J60" i="1" s="1"/>
  <c r="H59" i="1"/>
  <c r="J59" i="1" s="1"/>
  <c r="H57" i="1"/>
  <c r="J57" i="1" s="1"/>
  <c r="H56" i="1"/>
  <c r="J56" i="1" s="1"/>
  <c r="H55" i="1"/>
  <c r="J55" i="1" s="1"/>
  <c r="H54" i="1"/>
  <c r="J54" i="1" s="1"/>
  <c r="H53" i="1"/>
  <c r="J53" i="1" s="1"/>
  <c r="H52" i="1"/>
  <c r="J52" i="1" s="1"/>
  <c r="H51" i="1"/>
  <c r="J51" i="1" s="1"/>
  <c r="H50" i="1"/>
  <c r="J50" i="1" s="1"/>
  <c r="H49" i="1"/>
  <c r="J49" i="1" s="1"/>
  <c r="H48" i="1"/>
  <c r="J48" i="1" s="1"/>
  <c r="H47" i="1"/>
  <c r="J47" i="1" s="1"/>
  <c r="H46" i="1"/>
  <c r="J46" i="1" s="1"/>
  <c r="H45" i="1"/>
  <c r="J45" i="1" s="1"/>
  <c r="H44" i="1"/>
  <c r="J44" i="1" s="1"/>
  <c r="H43" i="1"/>
  <c r="J43" i="1" s="1"/>
  <c r="H42" i="1"/>
  <c r="J42" i="1" s="1"/>
  <c r="H41" i="1"/>
  <c r="J41" i="1" s="1"/>
  <c r="H40" i="1"/>
  <c r="H29" i="1"/>
  <c r="F29" i="1"/>
  <c r="G28" i="1"/>
  <c r="I28" i="1" s="1"/>
  <c r="J28" i="1" s="1"/>
  <c r="G27" i="1"/>
  <c r="I27" i="1" s="1"/>
  <c r="J27" i="1" s="1"/>
  <c r="I26" i="1"/>
  <c r="G25" i="1"/>
  <c r="I25" i="1" s="1"/>
  <c r="J25" i="1" s="1"/>
  <c r="G24" i="1"/>
  <c r="I24" i="1" s="1"/>
  <c r="J24" i="1" s="1"/>
  <c r="G23" i="1"/>
  <c r="I23" i="1" s="1"/>
  <c r="J23" i="1" s="1"/>
  <c r="I22" i="1"/>
  <c r="J22" i="1" s="1"/>
  <c r="G22" i="1"/>
  <c r="I21" i="1"/>
  <c r="G20" i="1"/>
  <c r="I20" i="1" s="1"/>
  <c r="J20" i="1" s="1"/>
  <c r="G19" i="1"/>
  <c r="I19" i="1" s="1"/>
  <c r="J19" i="1" s="1"/>
  <c r="G18" i="1"/>
  <c r="I18" i="1" s="1"/>
  <c r="J18" i="1" s="1"/>
  <c r="G17" i="1"/>
  <c r="I17" i="1" s="1"/>
  <c r="J17" i="1" s="1"/>
  <c r="G16" i="1"/>
  <c r="I16" i="1" s="1"/>
  <c r="J16" i="1" s="1"/>
  <c r="G15" i="1"/>
  <c r="I15" i="1" s="1"/>
  <c r="J15" i="1" s="1"/>
  <c r="G14" i="1"/>
  <c r="I14" i="1" s="1"/>
  <c r="J14" i="1" s="1"/>
  <c r="G13" i="1"/>
  <c r="I13" i="1" s="1"/>
  <c r="J13" i="1" s="1"/>
  <c r="G12" i="1"/>
  <c r="I12" i="1" s="1"/>
  <c r="J12" i="1" s="1"/>
  <c r="G11" i="1"/>
  <c r="I11" i="1" s="1"/>
  <c r="J11" i="1" s="1"/>
  <c r="G9" i="1"/>
  <c r="I9" i="1" s="1"/>
  <c r="J9" i="1" s="1"/>
  <c r="G8" i="1"/>
  <c r="I8" i="1" s="1"/>
  <c r="J8" i="1" s="1"/>
  <c r="I7" i="1"/>
  <c r="J7" i="1" s="1"/>
  <c r="G7" i="1"/>
  <c r="G6" i="1"/>
  <c r="I6" i="1" s="1"/>
  <c r="J6" i="1" s="1"/>
  <c r="G5" i="1"/>
  <c r="H88" i="1" l="1"/>
  <c r="H100" i="1" s="1"/>
  <c r="J40" i="1"/>
  <c r="F100" i="1"/>
  <c r="G29" i="1"/>
  <c r="G88" i="1"/>
  <c r="I64" i="1"/>
  <c r="I88" i="1" s="1"/>
  <c r="G100" i="1"/>
  <c r="J64" i="1"/>
  <c r="J88" i="1" s="1"/>
  <c r="I5" i="1"/>
  <c r="J5" i="1" l="1"/>
  <c r="J29" i="1" s="1"/>
  <c r="J100" i="1" s="1"/>
  <c r="I29" i="1"/>
  <c r="I100" i="1" s="1"/>
</calcChain>
</file>

<file path=xl/sharedStrings.xml><?xml version="1.0" encoding="utf-8"?>
<sst xmlns="http://schemas.openxmlformats.org/spreadsheetml/2006/main" count="238" uniqueCount="95">
  <si>
    <t>2025 Sales</t>
  </si>
  <si>
    <t>Date</t>
  </si>
  <si>
    <t>Company Name</t>
  </si>
  <si>
    <t>Address</t>
  </si>
  <si>
    <t>S.I. Ref.#</t>
  </si>
  <si>
    <t>VAT REG. NO.</t>
  </si>
  <si>
    <t>Amount</t>
  </si>
  <si>
    <t>Vatable</t>
  </si>
  <si>
    <t>Zero-Rated/Vat Exempt</t>
  </si>
  <si>
    <t>Output</t>
  </si>
  <si>
    <t>Total Amount</t>
  </si>
  <si>
    <t>Manila</t>
  </si>
  <si>
    <t>Bataan 2020 Inc.-Samal</t>
  </si>
  <si>
    <t>Roman Superhighway Gugo Samal Bataan</t>
  </si>
  <si>
    <t>005-858-416-00001</t>
  </si>
  <si>
    <t>Chemlux Inc.</t>
  </si>
  <si>
    <t>Veterans Center Western Bicutan Taguig City</t>
  </si>
  <si>
    <t>006-647-905</t>
  </si>
  <si>
    <t>Subzero Cold Storage and Ice Inc.</t>
  </si>
  <si>
    <t>009-997-250-000</t>
  </si>
  <si>
    <t>August Sales</t>
  </si>
  <si>
    <t>Medcore Plus Enterprises</t>
  </si>
  <si>
    <t>Mallorca, San Leonardo,Nueva Ecija</t>
  </si>
  <si>
    <t>192-090-306-000</t>
  </si>
  <si>
    <t>Cesar S. Matias</t>
  </si>
  <si>
    <t>Estrella Street.,Navotas City</t>
  </si>
  <si>
    <t>154-962-953</t>
  </si>
  <si>
    <t>Bataan 2020 Power Ventures Inc.</t>
  </si>
  <si>
    <t>Brgy.Gugo, Samal Bataan</t>
  </si>
  <si>
    <t>009-364-267-000</t>
  </si>
  <si>
    <t>Bataan 2020 Inc.-Baesa</t>
  </si>
  <si>
    <t>Quirino Highway Baesa Quezon City</t>
  </si>
  <si>
    <t>005-858-416-000</t>
  </si>
  <si>
    <t>Delta P, Inc.</t>
  </si>
  <si>
    <t>Sta.Lourdes Puerto Prinsesa Palawan</t>
  </si>
  <si>
    <t>005-962-777</t>
  </si>
  <si>
    <t>First Streamline Waterworks Inc.</t>
  </si>
  <si>
    <t>San Nicolas II,Bacoor Cavite</t>
  </si>
  <si>
    <t>008-604-111-000</t>
  </si>
  <si>
    <t>S.O.S. Industrial Enterprises</t>
  </si>
  <si>
    <t>St. Francis, Binan, Laguna</t>
  </si>
  <si>
    <t>212-156-004</t>
  </si>
  <si>
    <t>Linde Phils.Inc.</t>
  </si>
  <si>
    <t>Podium West Tower ABB Ave.,Ortigas Center Mandaluyong City</t>
  </si>
  <si>
    <t>000-053-820</t>
  </si>
  <si>
    <t>United Pulp and Paper Co.Inc -Cogen 1</t>
  </si>
  <si>
    <t>Km.48,McArthur Highway,Iba Este.,Calumpit Bulacan</t>
  </si>
  <si>
    <t>000-149-834-000</t>
  </si>
  <si>
    <t>Life Basic Trading</t>
  </si>
  <si>
    <t>Nebraska Street Pardo,Cebu City</t>
  </si>
  <si>
    <t>Isabela Biomass Energy Corp.</t>
  </si>
  <si>
    <t>Burgos Alicia Isabela</t>
  </si>
  <si>
    <t>008-350-337-000</t>
  </si>
  <si>
    <t>Koolkem Corp.</t>
  </si>
  <si>
    <t>Sapalibutad Angeles City</t>
  </si>
  <si>
    <t>010-347-586</t>
  </si>
  <si>
    <t>Sub Total Mla</t>
  </si>
  <si>
    <t>Davao</t>
  </si>
  <si>
    <t>MD Nabunturan Agri-Ventures Inc.</t>
  </si>
  <si>
    <t>Cabidianan Nabunturan Davao De Oro</t>
  </si>
  <si>
    <t>005-211-977-0000</t>
  </si>
  <si>
    <t>MD Panabo Agri-Ventures Inc.</t>
  </si>
  <si>
    <t>Kasilak Panabo City</t>
  </si>
  <si>
    <t>005-211-258-0000</t>
  </si>
  <si>
    <t>Sumifru Agricultural Development Inc.</t>
  </si>
  <si>
    <t>AJMR Port Complex Tibungco Davao City</t>
  </si>
  <si>
    <t>465-020-959-000</t>
  </si>
  <si>
    <t>Sumifru (Philippines) Corp.</t>
  </si>
  <si>
    <t>228-074-741-0000</t>
  </si>
  <si>
    <t>PSC Diversified Fruits Inc.</t>
  </si>
  <si>
    <t>006-379-188-0000</t>
  </si>
  <si>
    <t>Cancelled</t>
  </si>
  <si>
    <t>MD Rio Vista Agri-Ventures Inc.</t>
  </si>
  <si>
    <t>Pangi Maco Davao de oro</t>
  </si>
  <si>
    <t>005-210-007-0000</t>
  </si>
  <si>
    <t>Dole Philippines Inc.</t>
  </si>
  <si>
    <t>Dona Socorro St.,Davao City</t>
  </si>
  <si>
    <t>000-428-573-00003</t>
  </si>
  <si>
    <t>228-074-741-000</t>
  </si>
  <si>
    <t>Replacement of SI# 6558,and 6619</t>
  </si>
  <si>
    <t>Alson's Development &amp; Investment Corp.</t>
  </si>
  <si>
    <t>Stitio Mabilis Fatima Gensan City</t>
  </si>
  <si>
    <t>000-516-919-0001</t>
  </si>
  <si>
    <t>006-379-188-000</t>
  </si>
  <si>
    <t>MD Isalon Organic Banana Agri-Ventures Inc.</t>
  </si>
  <si>
    <t>Bongabong Pantukan Davao De Oro</t>
  </si>
  <si>
    <t>005-210-935-000</t>
  </si>
  <si>
    <t>Sarangani Cattle Company Inc.</t>
  </si>
  <si>
    <t>Sinawal General santos City</t>
  </si>
  <si>
    <t>000-265-247-001</t>
  </si>
  <si>
    <t>Primewater Infrastructure Corp.</t>
  </si>
  <si>
    <t>Starmall Annex Las Pinas City</t>
  </si>
  <si>
    <t>247-220-837-000</t>
  </si>
  <si>
    <t>Sub Total Dvo</t>
  </si>
  <si>
    <t>G-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</si>
</sst>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7" fontId="2" fillId="0" borderId="0" xfId="0" applyNumberFormat="1" applyFo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3" fillId="0" borderId="0" xfId="0" applyNumberFormat="1" applyFont="1"/>
    <xf numFmtId="0" fontId="0" fillId="2" borderId="0" xfId="0" applyFill="1" applyAlignment="1">
      <alignment horizontal="center"/>
    </xf>
    <xf numFmtId="164" fontId="0" fillId="0" borderId="4" xfId="0" applyNumberFormat="1" applyBorder="1"/>
    <xf numFmtId="164" fontId="3" fillId="0" borderId="4" xfId="0" applyNumberFormat="1" applyFont="1" applyBorder="1"/>
    <xf numFmtId="0" fontId="1" fillId="0" borderId="0" xfId="0" applyFont="1"/>
    <xf numFmtId="164" fontId="1" fillId="0" borderId="0" xfId="0" applyNumberFormat="1" applyFont="1"/>
    <xf numFmtId="164" fontId="4" fillId="0" borderId="0" xfId="0" applyNumberFormat="1" applyFon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3" borderId="0" xfId="0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0" fillId="2" borderId="0" xfId="0" applyFill="1"/>
    <xf numFmtId="0" fontId="3" fillId="2" borderId="0" xfId="0" applyFont="1" applyFill="1" applyAlignment="1">
      <alignment horizontal="center"/>
    </xf>
    <xf numFmtId="164" fontId="1" fillId="0" borderId="5" xfId="0" applyNumberFormat="1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topLeftCell="A81" workbookViewId="0">
      <selection sqref="A1:XFD1048576"/>
    </sheetView>
  </sheetViews>
  <sheetFormatPr defaultRowHeight="14.5" x14ac:dyDescent="0.35"/>
  <cols>
    <col min="1" max="1" width="10.453125" bestFit="1" customWidth="1"/>
    <col min="2" max="2" width="38.7265625" bestFit="1" customWidth="1"/>
    <col min="3" max="3" width="54.36328125" bestFit="1" customWidth="1"/>
    <col min="4" max="4" width="8.08984375" bestFit="1" customWidth="1"/>
    <col min="5" max="5" width="16.81640625" bestFit="1" customWidth="1"/>
    <col min="6" max="6" width="13.81640625" bestFit="1" customWidth="1"/>
    <col min="7" max="7" width="12.7265625" bestFit="1" customWidth="1"/>
    <col min="8" max="8" width="22.26953125" bestFit="1" customWidth="1"/>
    <col min="9" max="9" width="11.1796875" bestFit="1" customWidth="1"/>
    <col min="10" max="10" width="13.81640625" bestFit="1" customWidth="1"/>
  </cols>
  <sheetData>
    <row r="1" spans="1:10" ht="21" x14ac:dyDescent="0.5">
      <c r="A1" s="27" t="s">
        <v>0</v>
      </c>
      <c r="B1" s="27"/>
      <c r="C1" s="1"/>
      <c r="D1" s="1"/>
      <c r="E1" s="1"/>
      <c r="F1" s="1"/>
      <c r="G1" s="1"/>
      <c r="H1" s="1"/>
      <c r="I1" s="1"/>
      <c r="J1" s="1"/>
    </row>
    <row r="2" spans="1:10" x14ac:dyDescent="0.35">
      <c r="A2" s="25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8" t="s">
        <v>6</v>
      </c>
      <c r="G2" s="28" t="s">
        <v>7</v>
      </c>
      <c r="H2" s="28" t="s">
        <v>8</v>
      </c>
      <c r="I2" s="28" t="s">
        <v>9</v>
      </c>
      <c r="J2" s="28" t="s">
        <v>10</v>
      </c>
    </row>
    <row r="3" spans="1:10" x14ac:dyDescent="0.35">
      <c r="A3" s="26"/>
      <c r="B3" s="26"/>
      <c r="C3" s="26"/>
      <c r="D3" s="26"/>
      <c r="E3" s="26"/>
      <c r="F3" s="29"/>
      <c r="G3" s="29"/>
      <c r="H3" s="29"/>
      <c r="I3" s="29"/>
      <c r="J3" s="29"/>
    </row>
    <row r="4" spans="1:10" x14ac:dyDescent="0.35">
      <c r="A4" s="2"/>
      <c r="B4" s="2" t="s">
        <v>11</v>
      </c>
      <c r="C4" s="2"/>
      <c r="D4" s="2"/>
      <c r="E4" s="2"/>
      <c r="F4" s="3"/>
      <c r="G4" s="3"/>
      <c r="H4" s="3"/>
      <c r="I4" s="3"/>
      <c r="J4" s="3"/>
    </row>
    <row r="5" spans="1:10" x14ac:dyDescent="0.35">
      <c r="A5" s="4">
        <v>45901</v>
      </c>
      <c r="B5" s="5" t="s">
        <v>12</v>
      </c>
      <c r="C5" s="6" t="s">
        <v>13</v>
      </c>
      <c r="D5" s="6">
        <v>5610</v>
      </c>
      <c r="E5" t="s">
        <v>14</v>
      </c>
      <c r="F5" s="7">
        <v>998325</v>
      </c>
      <c r="G5" s="8">
        <f t="shared" ref="G5:G19" si="0">F5/1.12</f>
        <v>891361.60714285704</v>
      </c>
      <c r="H5" s="8"/>
      <c r="I5" s="8">
        <f t="shared" ref="I5:I19" si="1">G5*0.12</f>
        <v>106963.39285714284</v>
      </c>
      <c r="J5" s="8">
        <f t="shared" ref="J5:J19" si="2">I5+G5</f>
        <v>998324.99999999988</v>
      </c>
    </row>
    <row r="6" spans="1:10" x14ac:dyDescent="0.35">
      <c r="A6" s="4">
        <v>45902</v>
      </c>
      <c r="B6" s="5" t="s">
        <v>15</v>
      </c>
      <c r="C6" s="6" t="s">
        <v>16</v>
      </c>
      <c r="D6" s="6">
        <v>5611</v>
      </c>
      <c r="E6" t="s">
        <v>17</v>
      </c>
      <c r="F6" s="8">
        <v>60984</v>
      </c>
      <c r="G6" s="8">
        <f t="shared" si="0"/>
        <v>54449.999999999993</v>
      </c>
      <c r="H6" s="8"/>
      <c r="I6" s="8">
        <f t="shared" si="1"/>
        <v>6533.9999999999991</v>
      </c>
      <c r="J6" s="9">
        <f t="shared" si="2"/>
        <v>60983.999999999993</v>
      </c>
    </row>
    <row r="7" spans="1:10" x14ac:dyDescent="0.35">
      <c r="A7" s="4">
        <v>45902</v>
      </c>
      <c r="B7" s="5" t="s">
        <v>18</v>
      </c>
      <c r="C7" s="6" t="s">
        <v>13</v>
      </c>
      <c r="D7" s="6">
        <v>5612</v>
      </c>
      <c r="E7" t="s">
        <v>19</v>
      </c>
      <c r="F7" s="7">
        <v>30000</v>
      </c>
      <c r="G7" s="8">
        <f t="shared" si="0"/>
        <v>26785.714285714283</v>
      </c>
      <c r="H7" s="8"/>
      <c r="I7" s="8">
        <f t="shared" si="1"/>
        <v>3214.2857142857138</v>
      </c>
      <c r="J7" s="9">
        <f t="shared" si="2"/>
        <v>29999.999999999996</v>
      </c>
    </row>
    <row r="8" spans="1:10" x14ac:dyDescent="0.35">
      <c r="A8" s="4">
        <v>45902</v>
      </c>
      <c r="B8" s="5" t="s">
        <v>18</v>
      </c>
      <c r="C8" s="6" t="s">
        <v>13</v>
      </c>
      <c r="D8" s="6">
        <v>5613</v>
      </c>
      <c r="E8" t="s">
        <v>19</v>
      </c>
      <c r="F8" s="8">
        <v>30000</v>
      </c>
      <c r="G8" s="8">
        <f t="shared" si="0"/>
        <v>26785.714285714283</v>
      </c>
      <c r="H8" s="8"/>
      <c r="I8" s="8">
        <f t="shared" si="1"/>
        <v>3214.2857142857138</v>
      </c>
      <c r="J8" s="9">
        <f t="shared" si="2"/>
        <v>29999.999999999996</v>
      </c>
    </row>
    <row r="9" spans="1:10" x14ac:dyDescent="0.35">
      <c r="A9" s="4">
        <v>45902</v>
      </c>
      <c r="B9" s="5" t="s">
        <v>18</v>
      </c>
      <c r="C9" s="6" t="s">
        <v>13</v>
      </c>
      <c r="D9" s="6">
        <v>5614</v>
      </c>
      <c r="E9" t="s">
        <v>19</v>
      </c>
      <c r="F9" s="7">
        <v>30000</v>
      </c>
      <c r="G9" s="8">
        <f t="shared" si="0"/>
        <v>26785.714285714283</v>
      </c>
      <c r="H9" s="8"/>
      <c r="I9" s="8">
        <f t="shared" si="1"/>
        <v>3214.2857142857138</v>
      </c>
      <c r="J9" s="9">
        <f t="shared" si="2"/>
        <v>29999.999999999996</v>
      </c>
    </row>
    <row r="10" spans="1:10" x14ac:dyDescent="0.35">
      <c r="B10" s="5"/>
      <c r="C10" s="10" t="s">
        <v>20</v>
      </c>
      <c r="D10" s="10">
        <v>5615</v>
      </c>
      <c r="F10" s="8"/>
    </row>
    <row r="11" spans="1:10" x14ac:dyDescent="0.35">
      <c r="A11" s="4">
        <v>45909</v>
      </c>
      <c r="B11" s="5" t="s">
        <v>21</v>
      </c>
      <c r="C11" s="6" t="s">
        <v>22</v>
      </c>
      <c r="D11" s="6">
        <v>5616</v>
      </c>
      <c r="E11" t="s">
        <v>23</v>
      </c>
      <c r="F11" s="8">
        <v>211800</v>
      </c>
      <c r="G11" s="8">
        <f t="shared" si="0"/>
        <v>189107.14285714284</v>
      </c>
      <c r="H11" s="8"/>
      <c r="I11" s="8">
        <f t="shared" si="1"/>
        <v>22692.857142857141</v>
      </c>
      <c r="J11" s="9">
        <f t="shared" si="2"/>
        <v>211799.99999999997</v>
      </c>
    </row>
    <row r="12" spans="1:10" x14ac:dyDescent="0.35">
      <c r="A12" s="4">
        <v>45909</v>
      </c>
      <c r="B12" s="5" t="s">
        <v>21</v>
      </c>
      <c r="C12" s="6" t="s">
        <v>22</v>
      </c>
      <c r="D12" s="6">
        <v>5617</v>
      </c>
      <c r="E12" t="s">
        <v>23</v>
      </c>
      <c r="F12" s="7">
        <v>213000</v>
      </c>
      <c r="G12" s="8">
        <f t="shared" si="0"/>
        <v>190178.57142857142</v>
      </c>
      <c r="H12" s="8"/>
      <c r="I12" s="8">
        <f t="shared" si="1"/>
        <v>22821.428571428569</v>
      </c>
      <c r="J12" s="9">
        <f t="shared" si="2"/>
        <v>213000</v>
      </c>
    </row>
    <row r="13" spans="1:10" x14ac:dyDescent="0.35">
      <c r="A13" s="4">
        <v>45909</v>
      </c>
      <c r="B13" s="5" t="s">
        <v>24</v>
      </c>
      <c r="C13" s="6" t="s">
        <v>25</v>
      </c>
      <c r="D13" s="6">
        <v>5618</v>
      </c>
      <c r="E13" t="s">
        <v>26</v>
      </c>
      <c r="F13" s="8">
        <v>34836</v>
      </c>
      <c r="G13" s="8">
        <f t="shared" si="0"/>
        <v>31103.571428571424</v>
      </c>
      <c r="H13" s="8"/>
      <c r="I13" s="8">
        <f t="shared" si="1"/>
        <v>3732.4285714285706</v>
      </c>
      <c r="J13" s="9">
        <f t="shared" si="2"/>
        <v>34835.999999999993</v>
      </c>
    </row>
    <row r="14" spans="1:10" x14ac:dyDescent="0.35">
      <c r="A14" s="4">
        <v>45911</v>
      </c>
      <c r="B14" s="5" t="s">
        <v>27</v>
      </c>
      <c r="C14" s="6" t="s">
        <v>28</v>
      </c>
      <c r="D14" s="6">
        <v>5619</v>
      </c>
      <c r="E14" t="s">
        <v>29</v>
      </c>
      <c r="F14" s="8">
        <v>273358.98</v>
      </c>
      <c r="G14" s="8">
        <f t="shared" si="0"/>
        <v>244070.51785714281</v>
      </c>
      <c r="H14" s="8"/>
      <c r="I14" s="8">
        <f t="shared" si="1"/>
        <v>29288.462142857137</v>
      </c>
      <c r="J14" s="9">
        <f t="shared" si="2"/>
        <v>273358.97999999992</v>
      </c>
    </row>
    <row r="15" spans="1:10" x14ac:dyDescent="0.35">
      <c r="A15" s="4">
        <v>45911</v>
      </c>
      <c r="B15" s="5" t="s">
        <v>27</v>
      </c>
      <c r="C15" s="6" t="s">
        <v>28</v>
      </c>
      <c r="D15" s="6">
        <v>5620</v>
      </c>
      <c r="E15" t="s">
        <v>29</v>
      </c>
      <c r="F15" s="8">
        <v>215786.67</v>
      </c>
      <c r="G15" s="8">
        <f t="shared" si="0"/>
        <v>192666.66964285713</v>
      </c>
      <c r="H15" s="8"/>
      <c r="I15" s="8">
        <f t="shared" si="1"/>
        <v>23120.000357142853</v>
      </c>
      <c r="J15" s="9">
        <f t="shared" si="2"/>
        <v>215786.66999999998</v>
      </c>
    </row>
    <row r="16" spans="1:10" x14ac:dyDescent="0.35">
      <c r="A16" s="4">
        <v>45911</v>
      </c>
      <c r="B16" s="5" t="s">
        <v>30</v>
      </c>
      <c r="C16" s="6" t="s">
        <v>31</v>
      </c>
      <c r="D16" s="6">
        <v>5621</v>
      </c>
      <c r="E16" t="s">
        <v>32</v>
      </c>
      <c r="F16" s="7">
        <v>69630.75</v>
      </c>
      <c r="G16" s="8">
        <f t="shared" si="0"/>
        <v>62170.312499999993</v>
      </c>
      <c r="H16" s="8"/>
      <c r="I16" s="8">
        <f t="shared" si="1"/>
        <v>7460.4374999999991</v>
      </c>
      <c r="J16" s="9">
        <f t="shared" si="2"/>
        <v>69630.749999999985</v>
      </c>
    </row>
    <row r="17" spans="1:10" x14ac:dyDescent="0.35">
      <c r="A17" s="4">
        <v>45911</v>
      </c>
      <c r="B17" s="5" t="s">
        <v>30</v>
      </c>
      <c r="C17" s="6" t="s">
        <v>31</v>
      </c>
      <c r="D17" s="6">
        <v>5622</v>
      </c>
      <c r="E17" t="s">
        <v>32</v>
      </c>
      <c r="F17" s="8">
        <v>93312</v>
      </c>
      <c r="G17" s="8">
        <f t="shared" si="0"/>
        <v>83314.28571428571</v>
      </c>
      <c r="H17" s="8"/>
      <c r="I17" s="8">
        <f t="shared" si="1"/>
        <v>9997.7142857142844</v>
      </c>
      <c r="J17" s="9">
        <f t="shared" si="2"/>
        <v>93312</v>
      </c>
    </row>
    <row r="18" spans="1:10" x14ac:dyDescent="0.35">
      <c r="A18" s="4">
        <v>45911</v>
      </c>
      <c r="B18" s="5" t="s">
        <v>33</v>
      </c>
      <c r="C18" s="6" t="s">
        <v>34</v>
      </c>
      <c r="D18" s="6">
        <v>5623</v>
      </c>
      <c r="E18" t="s">
        <v>35</v>
      </c>
      <c r="F18" s="8">
        <v>1374048</v>
      </c>
      <c r="G18" s="8">
        <f t="shared" si="0"/>
        <v>1226828.5714285714</v>
      </c>
      <c r="H18" s="8"/>
      <c r="I18" s="8">
        <f t="shared" si="1"/>
        <v>147219.42857142855</v>
      </c>
      <c r="J18" s="9">
        <f t="shared" si="2"/>
        <v>1374048</v>
      </c>
    </row>
    <row r="19" spans="1:10" x14ac:dyDescent="0.35">
      <c r="A19" s="4">
        <v>45916</v>
      </c>
      <c r="B19" s="5" t="s">
        <v>36</v>
      </c>
      <c r="C19" s="6" t="s">
        <v>37</v>
      </c>
      <c r="D19" s="6">
        <v>5624</v>
      </c>
      <c r="E19" t="s">
        <v>38</v>
      </c>
      <c r="F19" s="8">
        <v>112395</v>
      </c>
      <c r="G19" s="8">
        <f t="shared" si="0"/>
        <v>100352.67857142857</v>
      </c>
      <c r="H19" s="8"/>
      <c r="I19" s="8">
        <f t="shared" si="1"/>
        <v>12042.321428571428</v>
      </c>
      <c r="J19" s="9">
        <f t="shared" si="2"/>
        <v>112395</v>
      </c>
    </row>
    <row r="20" spans="1:10" x14ac:dyDescent="0.35">
      <c r="A20" s="4">
        <v>45916</v>
      </c>
      <c r="B20" s="5" t="s">
        <v>39</v>
      </c>
      <c r="C20" s="6" t="s">
        <v>40</v>
      </c>
      <c r="D20" s="6">
        <v>5625</v>
      </c>
      <c r="E20" t="s">
        <v>41</v>
      </c>
      <c r="F20" s="8">
        <v>17310</v>
      </c>
      <c r="G20" s="8">
        <f>F20/1.12</f>
        <v>15455.357142857141</v>
      </c>
      <c r="H20" s="8"/>
      <c r="I20" s="8">
        <f>G20*0.12</f>
        <v>1854.6428571428569</v>
      </c>
      <c r="J20" s="9">
        <f>I20+G20</f>
        <v>17310</v>
      </c>
    </row>
    <row r="21" spans="1:10" x14ac:dyDescent="0.35">
      <c r="A21" s="4">
        <v>45918</v>
      </c>
      <c r="B21" s="5" t="s">
        <v>42</v>
      </c>
      <c r="C21" s="6" t="s">
        <v>43</v>
      </c>
      <c r="D21" s="6">
        <v>5626</v>
      </c>
      <c r="E21" t="s">
        <v>44</v>
      </c>
      <c r="F21" s="8">
        <v>29000</v>
      </c>
      <c r="G21" s="8"/>
      <c r="H21" s="8">
        <v>29000</v>
      </c>
      <c r="I21" s="8">
        <f>G21*0.12</f>
        <v>0</v>
      </c>
      <c r="J21" s="9">
        <v>29000</v>
      </c>
    </row>
    <row r="22" spans="1:10" x14ac:dyDescent="0.35">
      <c r="A22" s="4">
        <v>45919</v>
      </c>
      <c r="B22" s="5" t="s">
        <v>45</v>
      </c>
      <c r="C22" s="6" t="s">
        <v>46</v>
      </c>
      <c r="D22" s="6">
        <v>5627</v>
      </c>
      <c r="E22" t="s">
        <v>47</v>
      </c>
      <c r="F22" s="8">
        <v>315088.40000000002</v>
      </c>
      <c r="G22" s="8">
        <f>F22/1.12</f>
        <v>281328.92857142858</v>
      </c>
      <c r="H22" s="8"/>
      <c r="I22" s="8">
        <f>G22*0.12</f>
        <v>33759.471428571429</v>
      </c>
      <c r="J22" s="9">
        <f>I22+G22</f>
        <v>315088.40000000002</v>
      </c>
    </row>
    <row r="23" spans="1:10" x14ac:dyDescent="0.35">
      <c r="A23" s="4">
        <v>45919</v>
      </c>
      <c r="B23" s="5" t="s">
        <v>48</v>
      </c>
      <c r="C23" s="6" t="s">
        <v>49</v>
      </c>
      <c r="D23" s="6">
        <v>5628</v>
      </c>
      <c r="E23" t="s">
        <v>29</v>
      </c>
      <c r="F23" s="8">
        <v>142000</v>
      </c>
      <c r="G23" s="8">
        <f>F23/1.12</f>
        <v>126785.71428571428</v>
      </c>
      <c r="H23" s="8"/>
      <c r="I23" s="8">
        <f>G23*0.12</f>
        <v>15214.285714285712</v>
      </c>
      <c r="J23" s="9">
        <f>I23+G23</f>
        <v>142000</v>
      </c>
    </row>
    <row r="24" spans="1:10" x14ac:dyDescent="0.35">
      <c r="A24" s="4">
        <v>45922</v>
      </c>
      <c r="B24" s="5" t="s">
        <v>21</v>
      </c>
      <c r="C24" s="6" t="s">
        <v>22</v>
      </c>
      <c r="D24" s="6">
        <v>5629</v>
      </c>
      <c r="E24" t="s">
        <v>23</v>
      </c>
      <c r="F24" s="8">
        <v>230250</v>
      </c>
      <c r="G24" s="8">
        <f t="shared" ref="G24:G28" si="3">F24/1.12</f>
        <v>205580.35714285713</v>
      </c>
      <c r="H24" s="8"/>
      <c r="I24" s="8">
        <f t="shared" ref="I24:I28" si="4">G24*0.12</f>
        <v>24669.642857142855</v>
      </c>
      <c r="J24" s="9">
        <f t="shared" ref="J24:J28" si="5">I24+G24</f>
        <v>230250</v>
      </c>
    </row>
    <row r="25" spans="1:10" x14ac:dyDescent="0.35">
      <c r="A25" s="4">
        <v>45922</v>
      </c>
      <c r="B25" s="5" t="s">
        <v>21</v>
      </c>
      <c r="C25" s="6" t="s">
        <v>22</v>
      </c>
      <c r="D25" s="6">
        <v>5630</v>
      </c>
      <c r="E25" t="s">
        <v>23</v>
      </c>
      <c r="F25" s="8">
        <v>213000</v>
      </c>
      <c r="G25" s="8">
        <f t="shared" si="3"/>
        <v>190178.57142857142</v>
      </c>
      <c r="H25" s="8"/>
      <c r="I25" s="8">
        <f t="shared" si="4"/>
        <v>22821.428571428569</v>
      </c>
      <c r="J25" s="9">
        <f t="shared" si="5"/>
        <v>213000</v>
      </c>
    </row>
    <row r="26" spans="1:10" x14ac:dyDescent="0.35">
      <c r="A26" s="4">
        <v>45923</v>
      </c>
      <c r="B26" s="5" t="s">
        <v>50</v>
      </c>
      <c r="C26" s="6" t="s">
        <v>51</v>
      </c>
      <c r="D26" s="6">
        <v>5631</v>
      </c>
      <c r="E26" t="s">
        <v>52</v>
      </c>
      <c r="F26" s="8">
        <v>628030</v>
      </c>
      <c r="G26" s="8"/>
      <c r="H26" s="8">
        <v>628030</v>
      </c>
      <c r="I26" s="8">
        <f t="shared" si="4"/>
        <v>0</v>
      </c>
      <c r="J26" s="9">
        <v>628030</v>
      </c>
    </row>
    <row r="27" spans="1:10" x14ac:dyDescent="0.35">
      <c r="A27" s="4">
        <v>45923</v>
      </c>
      <c r="B27" s="5" t="s">
        <v>53</v>
      </c>
      <c r="C27" s="6" t="s">
        <v>54</v>
      </c>
      <c r="D27" s="6">
        <v>5632</v>
      </c>
      <c r="E27" t="s">
        <v>55</v>
      </c>
      <c r="F27" s="8">
        <v>118922.16</v>
      </c>
      <c r="G27" s="8">
        <f t="shared" si="3"/>
        <v>106180.5</v>
      </c>
      <c r="H27" s="8"/>
      <c r="I27" s="8">
        <f t="shared" si="4"/>
        <v>12741.66</v>
      </c>
      <c r="J27" s="9">
        <f t="shared" si="5"/>
        <v>118922.16</v>
      </c>
    </row>
    <row r="28" spans="1:10" ht="15" thickBot="1" x14ac:dyDescent="0.4">
      <c r="A28" s="4">
        <v>45927</v>
      </c>
      <c r="B28" s="5" t="s">
        <v>53</v>
      </c>
      <c r="C28" s="6" t="s">
        <v>54</v>
      </c>
      <c r="D28" s="6">
        <v>5633</v>
      </c>
      <c r="E28" t="s">
        <v>55</v>
      </c>
      <c r="F28" s="11">
        <v>126772.8</v>
      </c>
      <c r="G28" s="11">
        <f t="shared" si="3"/>
        <v>113189.99999999999</v>
      </c>
      <c r="H28" s="11"/>
      <c r="I28" s="11">
        <f t="shared" si="4"/>
        <v>13582.799999999997</v>
      </c>
      <c r="J28" s="12">
        <f t="shared" si="5"/>
        <v>126772.79999999999</v>
      </c>
    </row>
    <row r="29" spans="1:10" x14ac:dyDescent="0.35">
      <c r="E29" s="13" t="s">
        <v>56</v>
      </c>
      <c r="F29" s="14">
        <f>SUM(F5:F28)</f>
        <v>5567849.7599999998</v>
      </c>
      <c r="G29" s="14">
        <f>SUM(G5:G28)</f>
        <v>4384660.5</v>
      </c>
      <c r="H29" s="14">
        <f>SUM(H5:H28)</f>
        <v>657030</v>
      </c>
      <c r="I29" s="14">
        <f>SUM(I5:I28)</f>
        <v>526159.25999999989</v>
      </c>
      <c r="J29" s="15">
        <f>SUM(J5:J28)</f>
        <v>5567849.7599999998</v>
      </c>
    </row>
    <row r="36" spans="1:10" ht="21" x14ac:dyDescent="0.5">
      <c r="A36" s="27" t="s">
        <v>0</v>
      </c>
      <c r="B36" s="27"/>
      <c r="C36" s="1"/>
      <c r="D36" s="1"/>
      <c r="E36" s="1"/>
      <c r="F36" s="1"/>
      <c r="G36" s="1"/>
      <c r="H36" s="1"/>
      <c r="I36" s="1"/>
      <c r="J36" s="1"/>
    </row>
    <row r="37" spans="1:10" x14ac:dyDescent="0.35">
      <c r="A37" s="25" t="s">
        <v>1</v>
      </c>
      <c r="B37" s="25" t="s">
        <v>2</v>
      </c>
      <c r="C37" s="25" t="s">
        <v>3</v>
      </c>
      <c r="D37" s="25" t="s">
        <v>4</v>
      </c>
      <c r="E37" s="25" t="s">
        <v>5</v>
      </c>
      <c r="F37" s="28" t="s">
        <v>6</v>
      </c>
      <c r="G37" s="28" t="s">
        <v>7</v>
      </c>
      <c r="H37" s="28" t="s">
        <v>8</v>
      </c>
      <c r="I37" s="28" t="s">
        <v>9</v>
      </c>
      <c r="J37" s="28" t="s">
        <v>10</v>
      </c>
    </row>
    <row r="38" spans="1:10" x14ac:dyDescent="0.35">
      <c r="A38" s="26"/>
      <c r="B38" s="26"/>
      <c r="C38" s="26"/>
      <c r="D38" s="26"/>
      <c r="E38" s="26"/>
      <c r="F38" s="29"/>
      <c r="G38" s="29"/>
      <c r="H38" s="29"/>
      <c r="I38" s="29"/>
      <c r="J38" s="29"/>
    </row>
    <row r="39" spans="1:10" x14ac:dyDescent="0.35">
      <c r="B39" s="16" t="s">
        <v>57</v>
      </c>
    </row>
    <row r="40" spans="1:10" x14ac:dyDescent="0.35">
      <c r="A40" s="4">
        <v>45902</v>
      </c>
      <c r="B40" t="s">
        <v>58</v>
      </c>
      <c r="C40" t="s">
        <v>59</v>
      </c>
      <c r="D40" s="6">
        <v>6601</v>
      </c>
      <c r="E40" t="s">
        <v>60</v>
      </c>
      <c r="F40" s="8">
        <v>72000</v>
      </c>
      <c r="G40" s="8"/>
      <c r="H40" s="8">
        <f>+F40</f>
        <v>72000</v>
      </c>
      <c r="I40" s="8"/>
      <c r="J40" s="9">
        <f>+H40</f>
        <v>72000</v>
      </c>
    </row>
    <row r="41" spans="1:10" x14ac:dyDescent="0.35">
      <c r="A41" s="4">
        <v>45902</v>
      </c>
      <c r="B41" t="s">
        <v>58</v>
      </c>
      <c r="C41" t="s">
        <v>59</v>
      </c>
      <c r="D41" s="6">
        <v>6602</v>
      </c>
      <c r="E41" t="s">
        <v>60</v>
      </c>
      <c r="F41" s="8">
        <v>130000</v>
      </c>
      <c r="G41" s="8"/>
      <c r="H41" s="8">
        <f t="shared" ref="H41:H57" si="6">+F41</f>
        <v>130000</v>
      </c>
      <c r="I41" s="8"/>
      <c r="J41" s="9">
        <f t="shared" ref="J41:J57" si="7">+H41</f>
        <v>130000</v>
      </c>
    </row>
    <row r="42" spans="1:10" x14ac:dyDescent="0.35">
      <c r="A42" s="4">
        <v>45903</v>
      </c>
      <c r="B42" t="s">
        <v>61</v>
      </c>
      <c r="C42" t="s">
        <v>62</v>
      </c>
      <c r="D42" s="6">
        <v>6603</v>
      </c>
      <c r="E42" t="s">
        <v>63</v>
      </c>
      <c r="F42" s="8">
        <v>90000</v>
      </c>
      <c r="G42" s="8"/>
      <c r="H42" s="8">
        <f t="shared" si="6"/>
        <v>90000</v>
      </c>
      <c r="I42" s="8"/>
      <c r="J42" s="9">
        <f t="shared" si="7"/>
        <v>90000</v>
      </c>
    </row>
    <row r="43" spans="1:10" x14ac:dyDescent="0.35">
      <c r="A43" s="4">
        <v>45908</v>
      </c>
      <c r="B43" s="17" t="s">
        <v>64</v>
      </c>
      <c r="C43" s="17" t="s">
        <v>65</v>
      </c>
      <c r="D43" s="18">
        <v>6604</v>
      </c>
      <c r="E43" t="s">
        <v>66</v>
      </c>
      <c r="F43" s="8">
        <v>158688</v>
      </c>
      <c r="G43" s="8"/>
      <c r="H43" s="8">
        <f t="shared" si="6"/>
        <v>158688</v>
      </c>
      <c r="I43" s="8"/>
      <c r="J43" s="9">
        <f t="shared" si="7"/>
        <v>158688</v>
      </c>
    </row>
    <row r="44" spans="1:10" x14ac:dyDescent="0.35">
      <c r="A44" s="4">
        <v>45908</v>
      </c>
      <c r="B44" s="17" t="s">
        <v>67</v>
      </c>
      <c r="C44" s="17" t="s">
        <v>65</v>
      </c>
      <c r="D44" s="18">
        <v>6605</v>
      </c>
      <c r="E44" t="s">
        <v>68</v>
      </c>
      <c r="F44" s="8">
        <v>98496</v>
      </c>
      <c r="G44" s="8"/>
      <c r="H44" s="8">
        <f t="shared" si="6"/>
        <v>98496</v>
      </c>
      <c r="I44" s="8"/>
      <c r="J44" s="9">
        <f t="shared" si="7"/>
        <v>98496</v>
      </c>
    </row>
    <row r="45" spans="1:10" x14ac:dyDescent="0.35">
      <c r="A45" s="4">
        <v>45908</v>
      </c>
      <c r="B45" s="17" t="s">
        <v>67</v>
      </c>
      <c r="C45" s="17" t="s">
        <v>65</v>
      </c>
      <c r="D45" s="18">
        <v>6606</v>
      </c>
      <c r="E45" t="s">
        <v>68</v>
      </c>
      <c r="F45" s="8">
        <v>159600</v>
      </c>
      <c r="G45" s="8"/>
      <c r="H45" s="8">
        <f t="shared" si="6"/>
        <v>159600</v>
      </c>
      <c r="I45" s="8"/>
      <c r="J45" s="9">
        <f t="shared" si="7"/>
        <v>159600</v>
      </c>
    </row>
    <row r="46" spans="1:10" x14ac:dyDescent="0.35">
      <c r="A46" s="4">
        <v>45908</v>
      </c>
      <c r="B46" t="s">
        <v>67</v>
      </c>
      <c r="C46" t="s">
        <v>65</v>
      </c>
      <c r="D46" s="18">
        <v>6607</v>
      </c>
      <c r="E46" t="s">
        <v>68</v>
      </c>
      <c r="F46" s="8">
        <v>259350</v>
      </c>
      <c r="G46" s="8"/>
      <c r="H46" s="8">
        <f t="shared" si="6"/>
        <v>259350</v>
      </c>
      <c r="I46" s="8"/>
      <c r="J46" s="9">
        <f t="shared" si="7"/>
        <v>259350</v>
      </c>
    </row>
    <row r="47" spans="1:10" x14ac:dyDescent="0.35">
      <c r="A47" s="4">
        <v>45908</v>
      </c>
      <c r="B47" t="s">
        <v>67</v>
      </c>
      <c r="C47" t="s">
        <v>65</v>
      </c>
      <c r="D47" s="18">
        <v>6608</v>
      </c>
      <c r="E47" t="s">
        <v>68</v>
      </c>
      <c r="F47" s="8">
        <v>54720</v>
      </c>
      <c r="G47" s="8"/>
      <c r="H47" s="8">
        <f t="shared" si="6"/>
        <v>54720</v>
      </c>
      <c r="I47" s="8"/>
      <c r="J47" s="9">
        <f t="shared" si="7"/>
        <v>54720</v>
      </c>
    </row>
    <row r="48" spans="1:10" x14ac:dyDescent="0.35">
      <c r="A48" s="4">
        <v>45908</v>
      </c>
      <c r="B48" t="s">
        <v>67</v>
      </c>
      <c r="C48" t="s">
        <v>65</v>
      </c>
      <c r="D48" s="18">
        <v>6609</v>
      </c>
      <c r="E48" t="s">
        <v>68</v>
      </c>
      <c r="F48" s="8">
        <v>54720</v>
      </c>
      <c r="G48" s="8"/>
      <c r="H48" s="8">
        <f t="shared" si="6"/>
        <v>54720</v>
      </c>
      <c r="I48" s="8"/>
      <c r="J48" s="9">
        <f t="shared" si="7"/>
        <v>54720</v>
      </c>
    </row>
    <row r="49" spans="1:10" x14ac:dyDescent="0.35">
      <c r="A49" s="4">
        <v>45909</v>
      </c>
      <c r="B49" t="s">
        <v>67</v>
      </c>
      <c r="C49" t="s">
        <v>65</v>
      </c>
      <c r="D49" s="18">
        <v>6610</v>
      </c>
      <c r="E49" t="s">
        <v>68</v>
      </c>
      <c r="F49" s="8">
        <v>136800</v>
      </c>
      <c r="G49" s="8"/>
      <c r="H49" s="8">
        <f t="shared" si="6"/>
        <v>136800</v>
      </c>
      <c r="I49" s="8"/>
      <c r="J49" s="9">
        <f t="shared" si="7"/>
        <v>136800</v>
      </c>
    </row>
    <row r="50" spans="1:10" x14ac:dyDescent="0.35">
      <c r="A50" s="4">
        <v>45909</v>
      </c>
      <c r="B50" s="17" t="s">
        <v>67</v>
      </c>
      <c r="C50" s="17" t="s">
        <v>65</v>
      </c>
      <c r="D50" s="18">
        <v>6611</v>
      </c>
      <c r="E50" t="s">
        <v>68</v>
      </c>
      <c r="F50" s="8">
        <v>299250</v>
      </c>
      <c r="G50" s="8"/>
      <c r="H50" s="8">
        <f t="shared" si="6"/>
        <v>299250</v>
      </c>
      <c r="I50" s="8"/>
      <c r="J50" s="9">
        <f t="shared" si="7"/>
        <v>299250</v>
      </c>
    </row>
    <row r="51" spans="1:10" x14ac:dyDescent="0.35">
      <c r="A51" s="4">
        <v>45909</v>
      </c>
      <c r="B51" t="s">
        <v>69</v>
      </c>
      <c r="C51" t="s">
        <v>65</v>
      </c>
      <c r="D51" s="18">
        <v>6612</v>
      </c>
      <c r="E51" t="s">
        <v>70</v>
      </c>
      <c r="F51" s="8">
        <v>99750</v>
      </c>
      <c r="G51" s="8"/>
      <c r="H51" s="8">
        <f t="shared" si="6"/>
        <v>99750</v>
      </c>
      <c r="I51" s="8"/>
      <c r="J51" s="9">
        <f t="shared" si="7"/>
        <v>99750</v>
      </c>
    </row>
    <row r="52" spans="1:10" x14ac:dyDescent="0.35">
      <c r="A52" s="4">
        <v>45909</v>
      </c>
      <c r="B52" t="s">
        <v>69</v>
      </c>
      <c r="C52" t="s">
        <v>65</v>
      </c>
      <c r="D52" s="18">
        <v>6613</v>
      </c>
      <c r="E52" t="s">
        <v>70</v>
      </c>
      <c r="F52" s="8">
        <v>38304</v>
      </c>
      <c r="G52" s="8"/>
      <c r="H52" s="8">
        <f t="shared" si="6"/>
        <v>38304</v>
      </c>
      <c r="I52" s="8"/>
      <c r="J52" s="9">
        <f t="shared" si="7"/>
        <v>38304</v>
      </c>
    </row>
    <row r="53" spans="1:10" x14ac:dyDescent="0.35">
      <c r="A53" s="4"/>
      <c r="C53" s="19" t="s">
        <v>71</v>
      </c>
      <c r="D53" s="20">
        <v>6614</v>
      </c>
      <c r="F53" s="8"/>
      <c r="G53" s="8"/>
      <c r="H53" s="8">
        <f t="shared" si="6"/>
        <v>0</v>
      </c>
      <c r="I53" s="8"/>
      <c r="J53" s="9">
        <f t="shared" si="7"/>
        <v>0</v>
      </c>
    </row>
    <row r="54" spans="1:10" x14ac:dyDescent="0.35">
      <c r="A54" s="4">
        <v>45908</v>
      </c>
      <c r="B54" t="s">
        <v>72</v>
      </c>
      <c r="C54" t="s">
        <v>73</v>
      </c>
      <c r="D54" s="18">
        <v>6615</v>
      </c>
      <c r="E54" t="s">
        <v>74</v>
      </c>
      <c r="F54" s="8">
        <v>135000</v>
      </c>
      <c r="G54" s="8"/>
      <c r="H54" s="8">
        <f t="shared" si="6"/>
        <v>135000</v>
      </c>
      <c r="I54" s="8"/>
      <c r="J54" s="9">
        <f t="shared" si="7"/>
        <v>135000</v>
      </c>
    </row>
    <row r="55" spans="1:10" x14ac:dyDescent="0.35">
      <c r="A55" s="4">
        <v>45908</v>
      </c>
      <c r="B55" t="s">
        <v>75</v>
      </c>
      <c r="C55" t="s">
        <v>76</v>
      </c>
      <c r="D55" s="18">
        <v>6616</v>
      </c>
      <c r="E55" t="s">
        <v>77</v>
      </c>
      <c r="F55" s="8">
        <v>540000</v>
      </c>
      <c r="G55" s="8"/>
      <c r="H55" s="8">
        <f t="shared" si="6"/>
        <v>540000</v>
      </c>
      <c r="I55" s="8"/>
      <c r="J55" s="9">
        <f t="shared" si="7"/>
        <v>540000</v>
      </c>
    </row>
    <row r="56" spans="1:10" x14ac:dyDescent="0.35">
      <c r="A56" s="4">
        <v>45915</v>
      </c>
      <c r="B56" t="s">
        <v>61</v>
      </c>
      <c r="C56" t="s">
        <v>62</v>
      </c>
      <c r="D56" s="18">
        <v>6617</v>
      </c>
      <c r="E56" t="s">
        <v>63</v>
      </c>
      <c r="F56" s="8">
        <v>236640</v>
      </c>
      <c r="G56" s="8"/>
      <c r="H56" s="8">
        <f t="shared" si="6"/>
        <v>236640</v>
      </c>
      <c r="I56" s="8"/>
      <c r="J56" s="9">
        <f t="shared" si="7"/>
        <v>236640</v>
      </c>
    </row>
    <row r="57" spans="1:10" x14ac:dyDescent="0.35">
      <c r="A57" s="4">
        <v>45915</v>
      </c>
      <c r="B57" t="s">
        <v>58</v>
      </c>
      <c r="C57" t="s">
        <v>59</v>
      </c>
      <c r="D57" s="6">
        <v>6618</v>
      </c>
      <c r="E57" t="s">
        <v>60</v>
      </c>
      <c r="F57" s="8">
        <v>315350</v>
      </c>
      <c r="G57" s="8"/>
      <c r="H57" s="8">
        <f t="shared" si="6"/>
        <v>315350</v>
      </c>
      <c r="I57" s="8"/>
      <c r="J57" s="9">
        <f t="shared" si="7"/>
        <v>315350</v>
      </c>
    </row>
    <row r="58" spans="1:10" x14ac:dyDescent="0.35">
      <c r="C58" s="21" t="s">
        <v>71</v>
      </c>
      <c r="D58" s="20">
        <v>6619</v>
      </c>
      <c r="F58" s="8"/>
      <c r="G58" s="8"/>
      <c r="H58" s="8"/>
      <c r="I58" s="8"/>
      <c r="J58" s="9"/>
    </row>
    <row r="59" spans="1:10" x14ac:dyDescent="0.35">
      <c r="A59" s="4">
        <v>45916</v>
      </c>
      <c r="B59" t="s">
        <v>67</v>
      </c>
      <c r="C59" t="s">
        <v>65</v>
      </c>
      <c r="D59" s="18">
        <v>6620</v>
      </c>
      <c r="E59" t="s">
        <v>78</v>
      </c>
      <c r="F59" s="8">
        <v>164160</v>
      </c>
      <c r="G59" s="8"/>
      <c r="H59" s="8">
        <f t="shared" ref="H59:H62" si="8">+F59</f>
        <v>164160</v>
      </c>
      <c r="I59" s="8"/>
      <c r="J59" s="9">
        <f t="shared" ref="J59:J62" si="9">+H59</f>
        <v>164160</v>
      </c>
    </row>
    <row r="60" spans="1:10" x14ac:dyDescent="0.35">
      <c r="A60" s="4">
        <v>45916</v>
      </c>
      <c r="B60" t="s">
        <v>67</v>
      </c>
      <c r="C60" t="s">
        <v>65</v>
      </c>
      <c r="D60" s="18">
        <v>6621</v>
      </c>
      <c r="E60" t="s">
        <v>78</v>
      </c>
      <c r="F60" s="8">
        <v>164160</v>
      </c>
      <c r="G60" s="8"/>
      <c r="H60" s="8">
        <f t="shared" si="8"/>
        <v>164160</v>
      </c>
      <c r="I60" s="8"/>
      <c r="J60" s="9">
        <f t="shared" si="9"/>
        <v>164160</v>
      </c>
    </row>
    <row r="61" spans="1:10" x14ac:dyDescent="0.35">
      <c r="A61" s="4">
        <v>45917</v>
      </c>
      <c r="B61" t="s">
        <v>64</v>
      </c>
      <c r="C61" t="s">
        <v>65</v>
      </c>
      <c r="D61" s="18">
        <v>6622</v>
      </c>
      <c r="E61" t="s">
        <v>66</v>
      </c>
      <c r="F61" s="8">
        <v>319200</v>
      </c>
      <c r="G61" s="8"/>
      <c r="H61" s="8">
        <f t="shared" si="8"/>
        <v>319200</v>
      </c>
      <c r="I61" s="8"/>
      <c r="J61" s="9">
        <f t="shared" si="9"/>
        <v>319200</v>
      </c>
    </row>
    <row r="62" spans="1:10" x14ac:dyDescent="0.35">
      <c r="A62" s="4">
        <v>45917</v>
      </c>
      <c r="B62" t="s">
        <v>75</v>
      </c>
      <c r="C62" t="s">
        <v>76</v>
      </c>
      <c r="D62" s="18">
        <v>6623</v>
      </c>
      <c r="E62" t="s">
        <v>77</v>
      </c>
      <c r="F62" s="8">
        <v>15929</v>
      </c>
      <c r="G62" s="8"/>
      <c r="H62" s="8">
        <f t="shared" si="8"/>
        <v>15929</v>
      </c>
      <c r="I62" s="8"/>
      <c r="J62" s="9">
        <f t="shared" si="9"/>
        <v>15929</v>
      </c>
    </row>
    <row r="63" spans="1:10" x14ac:dyDescent="0.35">
      <c r="A63" s="4"/>
      <c r="C63" s="22" t="s">
        <v>79</v>
      </c>
      <c r="D63" s="23">
        <v>6624</v>
      </c>
      <c r="F63" s="8"/>
      <c r="G63" s="8"/>
      <c r="H63" s="8"/>
      <c r="I63" s="8"/>
      <c r="J63" s="9"/>
    </row>
    <row r="64" spans="1:10" x14ac:dyDescent="0.35">
      <c r="A64" s="4">
        <v>45919</v>
      </c>
      <c r="B64" s="17" t="s">
        <v>80</v>
      </c>
      <c r="C64" s="17" t="s">
        <v>81</v>
      </c>
      <c r="D64" s="18">
        <v>6625</v>
      </c>
      <c r="E64" t="s">
        <v>82</v>
      </c>
      <c r="F64" s="8">
        <v>97776</v>
      </c>
      <c r="G64" s="8">
        <f t="shared" ref="G64" si="10">F64/1.12</f>
        <v>87299.999999999985</v>
      </c>
      <c r="H64" s="8"/>
      <c r="I64" s="8">
        <f t="shared" ref="I64" si="11">G64*0.12</f>
        <v>10475.999999999998</v>
      </c>
      <c r="J64" s="9">
        <f t="shared" ref="J64" si="12">I64+G64</f>
        <v>97775.999999999985</v>
      </c>
    </row>
    <row r="65" spans="1:10" x14ac:dyDescent="0.35">
      <c r="A65" s="4">
        <v>45922</v>
      </c>
      <c r="B65" t="s">
        <v>58</v>
      </c>
      <c r="C65" t="s">
        <v>59</v>
      </c>
      <c r="D65" s="18">
        <v>6626</v>
      </c>
      <c r="E65" t="s">
        <v>60</v>
      </c>
      <c r="F65" s="8">
        <v>25650</v>
      </c>
      <c r="G65" s="8"/>
      <c r="H65" s="8">
        <f t="shared" ref="H65:H78" si="13">+F65</f>
        <v>25650</v>
      </c>
      <c r="I65" s="8"/>
      <c r="J65" s="9">
        <f t="shared" ref="J65:J78" si="14">+H65</f>
        <v>25650</v>
      </c>
    </row>
    <row r="66" spans="1:10" x14ac:dyDescent="0.35">
      <c r="A66" s="4">
        <v>45922</v>
      </c>
      <c r="B66" t="s">
        <v>58</v>
      </c>
      <c r="C66" t="s">
        <v>59</v>
      </c>
      <c r="D66" s="18">
        <v>6627</v>
      </c>
      <c r="E66" t="s">
        <v>60</v>
      </c>
      <c r="F66" s="8">
        <v>180000</v>
      </c>
      <c r="G66" s="8"/>
      <c r="H66" s="8">
        <f t="shared" si="13"/>
        <v>180000</v>
      </c>
      <c r="I66" s="8"/>
      <c r="J66" s="9">
        <f t="shared" si="14"/>
        <v>180000</v>
      </c>
    </row>
    <row r="67" spans="1:10" x14ac:dyDescent="0.35">
      <c r="A67" s="4">
        <v>45922</v>
      </c>
      <c r="B67" t="s">
        <v>75</v>
      </c>
      <c r="C67" t="s">
        <v>76</v>
      </c>
      <c r="D67" s="18">
        <v>6628</v>
      </c>
      <c r="E67" t="s">
        <v>77</v>
      </c>
      <c r="F67" s="8">
        <v>270000</v>
      </c>
      <c r="G67" s="8"/>
      <c r="H67" s="8">
        <f t="shared" si="13"/>
        <v>270000</v>
      </c>
      <c r="I67" s="8"/>
      <c r="J67" s="9">
        <f t="shared" si="14"/>
        <v>270000</v>
      </c>
    </row>
    <row r="68" spans="1:10" x14ac:dyDescent="0.35">
      <c r="A68" s="4">
        <v>45923</v>
      </c>
      <c r="B68" t="s">
        <v>67</v>
      </c>
      <c r="C68" t="s">
        <v>65</v>
      </c>
      <c r="D68" s="18">
        <v>6629</v>
      </c>
      <c r="E68" t="s">
        <v>68</v>
      </c>
      <c r="F68" s="8">
        <v>109440</v>
      </c>
      <c r="G68" s="8"/>
      <c r="H68" s="8">
        <f t="shared" si="13"/>
        <v>109440</v>
      </c>
      <c r="I68" s="8"/>
      <c r="J68" s="9">
        <f t="shared" si="14"/>
        <v>109440</v>
      </c>
    </row>
    <row r="69" spans="1:10" x14ac:dyDescent="0.35">
      <c r="A69" s="4">
        <v>45923</v>
      </c>
      <c r="B69" t="s">
        <v>67</v>
      </c>
      <c r="C69" t="s">
        <v>65</v>
      </c>
      <c r="D69" s="18">
        <v>6630</v>
      </c>
      <c r="E69" t="s">
        <v>68</v>
      </c>
      <c r="F69" s="8">
        <v>518700</v>
      </c>
      <c r="G69" s="8"/>
      <c r="H69" s="8">
        <f t="shared" si="13"/>
        <v>518700</v>
      </c>
      <c r="I69" s="8"/>
      <c r="J69" s="9">
        <f t="shared" si="14"/>
        <v>518700</v>
      </c>
    </row>
    <row r="70" spans="1:10" x14ac:dyDescent="0.35">
      <c r="A70" s="4">
        <v>45924</v>
      </c>
      <c r="B70" t="s">
        <v>67</v>
      </c>
      <c r="C70" t="s">
        <v>65</v>
      </c>
      <c r="D70" s="18">
        <v>6631</v>
      </c>
      <c r="E70" t="s">
        <v>78</v>
      </c>
      <c r="F70" s="8">
        <v>538650</v>
      </c>
      <c r="G70" s="8"/>
      <c r="H70" s="8">
        <f t="shared" si="13"/>
        <v>538650</v>
      </c>
      <c r="I70" s="8"/>
      <c r="J70" s="9">
        <f t="shared" si="14"/>
        <v>538650</v>
      </c>
    </row>
    <row r="71" spans="1:10" x14ac:dyDescent="0.35">
      <c r="A71" s="4">
        <v>45924</v>
      </c>
      <c r="B71" t="s">
        <v>64</v>
      </c>
      <c r="C71" t="s">
        <v>65</v>
      </c>
      <c r="D71" s="18">
        <v>6632</v>
      </c>
      <c r="E71" t="s">
        <v>66</v>
      </c>
      <c r="F71" s="8">
        <v>109440</v>
      </c>
      <c r="G71" s="8"/>
      <c r="H71" s="8">
        <f t="shared" si="13"/>
        <v>109440</v>
      </c>
      <c r="I71" s="8"/>
      <c r="J71" s="9">
        <f t="shared" si="14"/>
        <v>109440</v>
      </c>
    </row>
    <row r="72" spans="1:10" x14ac:dyDescent="0.35">
      <c r="A72" s="4">
        <v>45924</v>
      </c>
      <c r="B72" t="s">
        <v>69</v>
      </c>
      <c r="C72" t="s">
        <v>65</v>
      </c>
      <c r="D72" s="6">
        <v>6633</v>
      </c>
      <c r="E72" t="s">
        <v>83</v>
      </c>
      <c r="F72" s="8">
        <v>43776</v>
      </c>
      <c r="G72" s="8"/>
      <c r="H72" s="8">
        <f t="shared" si="13"/>
        <v>43776</v>
      </c>
      <c r="I72" s="8"/>
      <c r="J72" s="9">
        <f t="shared" si="14"/>
        <v>43776</v>
      </c>
    </row>
    <row r="73" spans="1:10" x14ac:dyDescent="0.35">
      <c r="A73" s="4">
        <v>45924</v>
      </c>
      <c r="B73" t="s">
        <v>69</v>
      </c>
      <c r="C73" t="s">
        <v>65</v>
      </c>
      <c r="D73" s="6">
        <v>6634</v>
      </c>
      <c r="E73" t="s">
        <v>83</v>
      </c>
      <c r="F73" s="8">
        <v>99750</v>
      </c>
      <c r="G73" s="8"/>
      <c r="H73" s="8">
        <f t="shared" si="13"/>
        <v>99750</v>
      </c>
      <c r="I73" s="8"/>
      <c r="J73" s="9">
        <f t="shared" si="14"/>
        <v>99750</v>
      </c>
    </row>
    <row r="74" spans="1:10" x14ac:dyDescent="0.35">
      <c r="A74" s="4">
        <v>45924</v>
      </c>
      <c r="B74" t="s">
        <v>67</v>
      </c>
      <c r="C74" t="s">
        <v>65</v>
      </c>
      <c r="D74" s="18">
        <v>6635</v>
      </c>
      <c r="E74" t="s">
        <v>68</v>
      </c>
      <c r="F74" s="8">
        <v>82080</v>
      </c>
      <c r="G74" s="8"/>
      <c r="H74" s="8">
        <f t="shared" si="13"/>
        <v>82080</v>
      </c>
      <c r="I74" s="8"/>
      <c r="J74" s="9">
        <f t="shared" si="14"/>
        <v>82080</v>
      </c>
    </row>
    <row r="75" spans="1:10" x14ac:dyDescent="0.35">
      <c r="A75" s="4">
        <v>45924</v>
      </c>
      <c r="B75" t="s">
        <v>67</v>
      </c>
      <c r="C75" t="s">
        <v>65</v>
      </c>
      <c r="D75" s="18">
        <v>6636</v>
      </c>
      <c r="E75" t="s">
        <v>68</v>
      </c>
      <c r="F75" s="8">
        <v>87552</v>
      </c>
      <c r="G75" s="8"/>
      <c r="H75" s="8">
        <f t="shared" si="13"/>
        <v>87552</v>
      </c>
      <c r="I75" s="8"/>
      <c r="J75" s="9">
        <f t="shared" si="14"/>
        <v>87552</v>
      </c>
    </row>
    <row r="76" spans="1:10" x14ac:dyDescent="0.35">
      <c r="A76" s="4">
        <v>45924</v>
      </c>
      <c r="B76" t="s">
        <v>67</v>
      </c>
      <c r="C76" t="s">
        <v>65</v>
      </c>
      <c r="D76" s="18">
        <v>6637</v>
      </c>
      <c r="E76" t="s">
        <v>68</v>
      </c>
      <c r="F76" s="8">
        <v>159600</v>
      </c>
      <c r="G76" s="8"/>
      <c r="H76" s="8">
        <f t="shared" si="13"/>
        <v>159600</v>
      </c>
      <c r="I76" s="8"/>
      <c r="J76" s="9">
        <f t="shared" si="14"/>
        <v>159600</v>
      </c>
    </row>
    <row r="77" spans="1:10" x14ac:dyDescent="0.35">
      <c r="A77" s="4">
        <v>45924</v>
      </c>
      <c r="B77" t="s">
        <v>84</v>
      </c>
      <c r="C77" t="s">
        <v>85</v>
      </c>
      <c r="D77" s="18">
        <v>6638</v>
      </c>
      <c r="E77" t="s">
        <v>86</v>
      </c>
      <c r="F77" s="8">
        <v>39600</v>
      </c>
      <c r="G77" s="8"/>
      <c r="H77" s="8">
        <f t="shared" si="13"/>
        <v>39600</v>
      </c>
      <c r="I77" s="8"/>
      <c r="J77" s="9">
        <f t="shared" si="14"/>
        <v>39600</v>
      </c>
    </row>
    <row r="78" spans="1:10" x14ac:dyDescent="0.35">
      <c r="A78" s="4">
        <v>45924</v>
      </c>
      <c r="B78" t="s">
        <v>84</v>
      </c>
      <c r="C78" t="s">
        <v>85</v>
      </c>
      <c r="D78" s="18">
        <v>6639</v>
      </c>
      <c r="E78" t="s">
        <v>86</v>
      </c>
      <c r="F78" s="8">
        <v>46800</v>
      </c>
      <c r="G78" s="8"/>
      <c r="H78" s="8">
        <f t="shared" si="13"/>
        <v>46800</v>
      </c>
      <c r="I78" s="8"/>
      <c r="J78" s="9">
        <f t="shared" si="14"/>
        <v>46800</v>
      </c>
    </row>
    <row r="79" spans="1:10" x14ac:dyDescent="0.35">
      <c r="A79" s="4">
        <v>45925</v>
      </c>
      <c r="B79" t="s">
        <v>87</v>
      </c>
      <c r="C79" t="s">
        <v>88</v>
      </c>
      <c r="D79" s="18">
        <v>6640</v>
      </c>
      <c r="E79" t="s">
        <v>89</v>
      </c>
      <c r="F79" s="8">
        <v>241180.79999999999</v>
      </c>
      <c r="G79" s="8">
        <f t="shared" ref="G79" si="15">F79/1.12</f>
        <v>215339.99999999997</v>
      </c>
      <c r="H79" s="8"/>
      <c r="I79" s="8">
        <f t="shared" ref="I79" si="16">G79*0.12</f>
        <v>25840.799999999996</v>
      </c>
      <c r="J79" s="9">
        <f t="shared" ref="J79" si="17">I79+G79</f>
        <v>241180.79999999996</v>
      </c>
    </row>
    <row r="80" spans="1:10" x14ac:dyDescent="0.35">
      <c r="A80" s="4">
        <v>45925</v>
      </c>
      <c r="B80" t="s">
        <v>69</v>
      </c>
      <c r="C80" t="s">
        <v>65</v>
      </c>
      <c r="D80" s="6">
        <v>6641</v>
      </c>
      <c r="E80" t="s">
        <v>83</v>
      </c>
      <c r="F80" s="8">
        <v>38304</v>
      </c>
      <c r="G80" s="8"/>
      <c r="H80" s="8">
        <f t="shared" ref="H80:H87" si="18">+F80</f>
        <v>38304</v>
      </c>
      <c r="I80" s="8"/>
      <c r="J80" s="9">
        <f t="shared" ref="J80:J87" si="19">+H80</f>
        <v>38304</v>
      </c>
    </row>
    <row r="81" spans="1:10" x14ac:dyDescent="0.35">
      <c r="A81" s="4">
        <v>45925</v>
      </c>
      <c r="B81" t="s">
        <v>69</v>
      </c>
      <c r="C81" t="s">
        <v>65</v>
      </c>
      <c r="D81" s="6">
        <v>6642</v>
      </c>
      <c r="E81" t="s">
        <v>83</v>
      </c>
      <c r="F81" s="8">
        <v>149625</v>
      </c>
      <c r="G81" s="8"/>
      <c r="H81" s="8">
        <f t="shared" si="18"/>
        <v>149625</v>
      </c>
      <c r="I81" s="8"/>
      <c r="J81" s="9">
        <f t="shared" si="19"/>
        <v>149625</v>
      </c>
    </row>
    <row r="82" spans="1:10" x14ac:dyDescent="0.35">
      <c r="A82" s="4">
        <v>45922</v>
      </c>
      <c r="B82" t="s">
        <v>58</v>
      </c>
      <c r="C82" t="s">
        <v>59</v>
      </c>
      <c r="D82" s="18">
        <v>6643</v>
      </c>
      <c r="E82" t="s">
        <v>60</v>
      </c>
      <c r="F82" s="8">
        <v>118000</v>
      </c>
      <c r="G82" s="8"/>
      <c r="H82" s="8">
        <f t="shared" si="18"/>
        <v>118000</v>
      </c>
      <c r="I82" s="8"/>
      <c r="J82" s="9">
        <f t="shared" si="19"/>
        <v>118000</v>
      </c>
    </row>
    <row r="83" spans="1:10" x14ac:dyDescent="0.35">
      <c r="A83" s="4">
        <v>45926</v>
      </c>
      <c r="B83" t="s">
        <v>67</v>
      </c>
      <c r="C83" t="s">
        <v>65</v>
      </c>
      <c r="D83" s="18">
        <v>6644</v>
      </c>
      <c r="E83" t="s">
        <v>68</v>
      </c>
      <c r="F83" s="8">
        <v>389025</v>
      </c>
      <c r="G83" s="8"/>
      <c r="H83" s="8">
        <f t="shared" si="18"/>
        <v>389025</v>
      </c>
      <c r="I83" s="8"/>
      <c r="J83" s="9">
        <f t="shared" si="19"/>
        <v>389025</v>
      </c>
    </row>
    <row r="84" spans="1:10" x14ac:dyDescent="0.35">
      <c r="A84" s="4">
        <v>45926</v>
      </c>
      <c r="B84" t="s">
        <v>67</v>
      </c>
      <c r="C84" t="s">
        <v>65</v>
      </c>
      <c r="D84" s="18">
        <v>6645</v>
      </c>
      <c r="E84" t="s">
        <v>68</v>
      </c>
      <c r="F84" s="8">
        <v>82080</v>
      </c>
      <c r="G84" s="8"/>
      <c r="H84" s="8">
        <f t="shared" si="18"/>
        <v>82080</v>
      </c>
      <c r="I84" s="8"/>
      <c r="J84" s="9">
        <f t="shared" si="19"/>
        <v>82080</v>
      </c>
    </row>
    <row r="85" spans="1:10" x14ac:dyDescent="0.35">
      <c r="A85" s="4"/>
      <c r="C85" s="19" t="s">
        <v>71</v>
      </c>
      <c r="D85" s="20">
        <v>6646</v>
      </c>
      <c r="F85" s="8"/>
      <c r="G85" s="8"/>
      <c r="H85" s="8"/>
      <c r="I85" s="8"/>
      <c r="J85" s="9"/>
    </row>
    <row r="86" spans="1:10" x14ac:dyDescent="0.35">
      <c r="A86" s="4">
        <v>45929</v>
      </c>
      <c r="B86" t="s">
        <v>90</v>
      </c>
      <c r="C86" t="s">
        <v>91</v>
      </c>
      <c r="D86" s="6">
        <v>6647</v>
      </c>
      <c r="E86" t="s">
        <v>92</v>
      </c>
      <c r="F86" s="8">
        <v>358400</v>
      </c>
      <c r="G86" s="8">
        <f t="shared" ref="G86" si="20">F86/1.12</f>
        <v>319999.99999999994</v>
      </c>
      <c r="H86" s="8"/>
      <c r="I86" s="8">
        <f t="shared" ref="I86" si="21">G86*0.12</f>
        <v>38399.999999999993</v>
      </c>
      <c r="J86" s="9">
        <f t="shared" ref="J86" si="22">I86+G86</f>
        <v>358399.99999999994</v>
      </c>
    </row>
    <row r="87" spans="1:10" ht="15" thickBot="1" x14ac:dyDescent="0.4">
      <c r="A87" s="4">
        <v>45929</v>
      </c>
      <c r="B87" t="s">
        <v>75</v>
      </c>
      <c r="C87" t="s">
        <v>76</v>
      </c>
      <c r="D87" s="18">
        <v>6648</v>
      </c>
      <c r="E87" t="s">
        <v>77</v>
      </c>
      <c r="F87" s="11">
        <v>270000</v>
      </c>
      <c r="G87" s="11"/>
      <c r="H87" s="11">
        <f t="shared" si="18"/>
        <v>270000</v>
      </c>
      <c r="I87" s="11"/>
      <c r="J87" s="12">
        <f t="shared" si="19"/>
        <v>270000</v>
      </c>
    </row>
    <row r="88" spans="1:10" x14ac:dyDescent="0.35">
      <c r="E88" s="16" t="s">
        <v>93</v>
      </c>
      <c r="F88" s="14">
        <f>SUM(F40:F87)</f>
        <v>7597545.7999999998</v>
      </c>
      <c r="G88" s="14">
        <f>SUM(G40:G87)</f>
        <v>622639.99999999988</v>
      </c>
      <c r="H88" s="14">
        <f>SUM(H40:H87)</f>
        <v>6900189</v>
      </c>
      <c r="I88" s="14">
        <f>SUM(I40:I87)</f>
        <v>74716.799999999988</v>
      </c>
      <c r="J88" s="14">
        <f>SUM(J40:J87)</f>
        <v>7597545.7999999998</v>
      </c>
    </row>
    <row r="100" spans="5:10" ht="15" thickBot="1" x14ac:dyDescent="0.4">
      <c r="E100" s="16" t="s">
        <v>94</v>
      </c>
      <c r="F100" s="24">
        <f>+F88+F29</f>
        <v>13165395.559999999</v>
      </c>
      <c r="G100" s="24">
        <f>+G88+G29</f>
        <v>5007300.5</v>
      </c>
      <c r="H100" s="24">
        <f>+H88+H29</f>
        <v>7557219</v>
      </c>
      <c r="I100" s="24">
        <f>+I88+I29</f>
        <v>600876.05999999982</v>
      </c>
      <c r="J100" s="24">
        <f>+J88+J29</f>
        <v>13165395.559999999</v>
      </c>
    </row>
    <row r="101" spans="5:10" x14ac:dyDescent="0.35">
      <c r="F101" s="30" t="s">
        <v>6</v>
      </c>
      <c r="G101" s="30" t="s">
        <v>7</v>
      </c>
      <c r="H101" s="30" t="s">
        <v>8</v>
      </c>
      <c r="I101" s="30" t="s">
        <v>9</v>
      </c>
      <c r="J101" s="30" t="s">
        <v>10</v>
      </c>
    </row>
    <row r="102" spans="5:10" x14ac:dyDescent="0.35">
      <c r="F102" s="31"/>
      <c r="G102" s="31"/>
      <c r="H102" s="31"/>
      <c r="I102" s="31"/>
      <c r="J102" s="31"/>
    </row>
  </sheetData>
  <mergeCells count="27">
    <mergeCell ref="G37:G38"/>
    <mergeCell ref="H37:H38"/>
    <mergeCell ref="I37:I38"/>
    <mergeCell ref="J37:J38"/>
    <mergeCell ref="F101:F102"/>
    <mergeCell ref="G101:G102"/>
    <mergeCell ref="H101:H102"/>
    <mergeCell ref="I101:I102"/>
    <mergeCell ref="J101:J102"/>
    <mergeCell ref="F37:F38"/>
    <mergeCell ref="A37:A38"/>
    <mergeCell ref="B37:B38"/>
    <mergeCell ref="C37:C38"/>
    <mergeCell ref="D37:D38"/>
    <mergeCell ref="E37:E38"/>
    <mergeCell ref="F2:F3"/>
    <mergeCell ref="G2:G3"/>
    <mergeCell ref="H2:H3"/>
    <mergeCell ref="I2:I3"/>
    <mergeCell ref="J2:J3"/>
    <mergeCell ref="D2:D3"/>
    <mergeCell ref="E2:E3"/>
    <mergeCell ref="A36:B36"/>
    <mergeCell ref="A1:B1"/>
    <mergeCell ref="A2:A3"/>
    <mergeCell ref="B2:B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Rupert Sison</dc:creator>
  <cp:lastModifiedBy>NQL</cp:lastModifiedBy>
  <dcterms:created xsi:type="dcterms:W3CDTF">2025-10-20T01:39:26Z</dcterms:created>
  <dcterms:modified xsi:type="dcterms:W3CDTF">2025-10-28T08:33:22Z</dcterms:modified>
</cp:coreProperties>
</file>